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tmp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0" windowWidth="19140" windowHeight="9315" activeTab="2"/>
  </bookViews>
  <sheets>
    <sheet name="Activity 1" sheetId="7" r:id="rId1"/>
    <sheet name="Activity 2" sheetId="8" r:id="rId2"/>
    <sheet name="Activity 3" sheetId="9" r:id="rId3"/>
    <sheet name="Automated" sheetId="10" r:id="rId4"/>
    <sheet name="Single Gaussian" sheetId="5" r:id="rId5"/>
    <sheet name="Problem" sheetId="3" r:id="rId6"/>
  </sheets>
  <definedNames>
    <definedName name="eps" localSheetId="3">#REF!</definedName>
    <definedName name="eps">#REF!</definedName>
    <definedName name="G1_Weight">'Activity 3'!$C$47</definedName>
    <definedName name="G2_Weight">'Activity 3'!$D$47</definedName>
    <definedName name="step" localSheetId="0">'Activity 1'!$C$6</definedName>
    <definedName name="step" localSheetId="1">'Activity 2'!$C$6</definedName>
    <definedName name="step">Problem!$C$6</definedName>
    <definedName name="sum_ai" localSheetId="3">Automated!$G$30</definedName>
    <definedName name="sum_ai">#REF!</definedName>
    <definedName name="sum_ai_xi" localSheetId="3">Automated!$I$30</definedName>
    <definedName name="sum_ai_xi">#REF!</definedName>
    <definedName name="sum_Bi" localSheetId="3">Automated!$F$30</definedName>
    <definedName name="sum_Bi">#REF!</definedName>
    <definedName name="sum_bi_xi" localSheetId="3">Automated!$H$30</definedName>
    <definedName name="sum_bi_xi">#REF!</definedName>
    <definedName name="X" localSheetId="3">#REF!</definedName>
    <definedName name="X">#REF!</definedName>
  </definedNames>
  <calcPr calcId="145621"/>
</workbook>
</file>

<file path=xl/calcChain.xml><?xml version="1.0" encoding="utf-8"?>
<calcChain xmlns="http://schemas.openxmlformats.org/spreadsheetml/2006/main">
  <c r="D59" i="10" l="1"/>
  <c r="D57" i="10"/>
  <c r="C59" i="10"/>
  <c r="C57" i="10"/>
  <c r="B66" i="10"/>
  <c r="B67" i="10" s="1"/>
  <c r="F10" i="10"/>
  <c r="D58" i="10" s="1"/>
  <c r="E10" i="10"/>
  <c r="C58" i="10" s="1"/>
  <c r="F9" i="10"/>
  <c r="E16" i="10" s="1"/>
  <c r="E9" i="10"/>
  <c r="D19" i="10" s="1"/>
  <c r="D17" i="10" l="1"/>
  <c r="D16" i="10"/>
  <c r="F16" i="10" s="1"/>
  <c r="D26" i="10"/>
  <c r="D24" i="10"/>
  <c r="D22" i="10"/>
  <c r="D20" i="10"/>
  <c r="D27" i="10"/>
  <c r="D25" i="10"/>
  <c r="D23" i="10"/>
  <c r="D21" i="10"/>
  <c r="D18" i="10"/>
  <c r="D15" i="10"/>
  <c r="E27" i="10"/>
  <c r="E26" i="10"/>
  <c r="E25" i="10"/>
  <c r="E24" i="10"/>
  <c r="E23" i="10"/>
  <c r="E22" i="10"/>
  <c r="E21" i="10"/>
  <c r="E20" i="10"/>
  <c r="E19" i="10"/>
  <c r="F19" i="10" s="1"/>
  <c r="E18" i="10"/>
  <c r="E17" i="10"/>
  <c r="E15" i="10"/>
  <c r="B68" i="10"/>
  <c r="F20" i="10" l="1"/>
  <c r="G20" i="10" s="1"/>
  <c r="F25" i="10"/>
  <c r="H25" i="10" s="1"/>
  <c r="F21" i="10"/>
  <c r="J21" i="10" s="1"/>
  <c r="F17" i="10"/>
  <c r="G17" i="10" s="1"/>
  <c r="J19" i="10"/>
  <c r="H19" i="10"/>
  <c r="G19" i="10"/>
  <c r="H16" i="10"/>
  <c r="G16" i="10"/>
  <c r="J16" i="10"/>
  <c r="F23" i="10"/>
  <c r="F27" i="10"/>
  <c r="B69" i="10"/>
  <c r="F22" i="10"/>
  <c r="F15" i="10"/>
  <c r="F24" i="10"/>
  <c r="F18" i="10"/>
  <c r="F26" i="10"/>
  <c r="F21" i="9"/>
  <c r="D45" i="9" s="1"/>
  <c r="D21" i="9"/>
  <c r="C45" i="9" s="1"/>
  <c r="G21" i="9"/>
  <c r="D46" i="9" s="1"/>
  <c r="E21" i="9"/>
  <c r="C46" i="9" s="1"/>
  <c r="B21" i="9"/>
  <c r="C21" i="9" s="1"/>
  <c r="D47" i="9" s="1"/>
  <c r="B66" i="9"/>
  <c r="H6" i="8"/>
  <c r="O12" i="8"/>
  <c r="O11" i="8"/>
  <c r="H20" i="10" l="1"/>
  <c r="J20" i="10"/>
  <c r="G21" i="10"/>
  <c r="I21" i="10" s="1"/>
  <c r="J25" i="10"/>
  <c r="H21" i="10"/>
  <c r="H17" i="10"/>
  <c r="J17" i="10"/>
  <c r="G25" i="10"/>
  <c r="K25" i="10" s="1"/>
  <c r="I19" i="10"/>
  <c r="K19" i="10"/>
  <c r="J24" i="10"/>
  <c r="H24" i="10"/>
  <c r="G24" i="10"/>
  <c r="B70" i="10"/>
  <c r="J23" i="10"/>
  <c r="G23" i="10"/>
  <c r="H23" i="10"/>
  <c r="F30" i="10"/>
  <c r="J15" i="10"/>
  <c r="H15" i="10"/>
  <c r="G15" i="10"/>
  <c r="N6" i="10"/>
  <c r="O6" i="10" s="1"/>
  <c r="J27" i="10"/>
  <c r="H27" i="10"/>
  <c r="G27" i="10"/>
  <c r="J22" i="10"/>
  <c r="H22" i="10"/>
  <c r="G22" i="10"/>
  <c r="I16" i="10"/>
  <c r="K16" i="10"/>
  <c r="I20" i="10"/>
  <c r="K20" i="10"/>
  <c r="I17" i="10"/>
  <c r="K17" i="10"/>
  <c r="H26" i="10"/>
  <c r="J26" i="10"/>
  <c r="G26" i="10"/>
  <c r="J18" i="10"/>
  <c r="H18" i="10"/>
  <c r="G18" i="10"/>
  <c r="C47" i="9"/>
  <c r="C65" i="9" s="1"/>
  <c r="D12" i="9"/>
  <c r="D14" i="9"/>
  <c r="D4" i="9"/>
  <c r="D13" i="9"/>
  <c r="D10" i="9"/>
  <c r="D9" i="9"/>
  <c r="D8" i="9"/>
  <c r="D65" i="9"/>
  <c r="D7" i="9"/>
  <c r="D6" i="9"/>
  <c r="D15" i="9"/>
  <c r="D5" i="9"/>
  <c r="D16" i="9"/>
  <c r="D11" i="9"/>
  <c r="C9" i="9"/>
  <c r="C4" i="9"/>
  <c r="C14" i="9"/>
  <c r="C12" i="9"/>
  <c r="C11" i="9"/>
  <c r="C10" i="9"/>
  <c r="C6" i="9"/>
  <c r="C5" i="9"/>
  <c r="C13" i="9"/>
  <c r="C7" i="9"/>
  <c r="C15" i="9"/>
  <c r="C8" i="9"/>
  <c r="C16" i="9"/>
  <c r="B67" i="9"/>
  <c r="D66" i="9"/>
  <c r="I6" i="8"/>
  <c r="C1424" i="8"/>
  <c r="C1423" i="8"/>
  <c r="C1422" i="8"/>
  <c r="C1421" i="8"/>
  <c r="C1420" i="8"/>
  <c r="C1419" i="8"/>
  <c r="C1418" i="8"/>
  <c r="C1417" i="8"/>
  <c r="C1416" i="8"/>
  <c r="C1415" i="8"/>
  <c r="C1414" i="8"/>
  <c r="C1413" i="8"/>
  <c r="C1412" i="8"/>
  <c r="C1411" i="8"/>
  <c r="C1410" i="8"/>
  <c r="C1409" i="8"/>
  <c r="C1408" i="8"/>
  <c r="C1407" i="8"/>
  <c r="C1406" i="8"/>
  <c r="C1405" i="8"/>
  <c r="C1404" i="8"/>
  <c r="C1403" i="8"/>
  <c r="C1402" i="8"/>
  <c r="C1401" i="8"/>
  <c r="C1400" i="8"/>
  <c r="C1399" i="8"/>
  <c r="C1398" i="8"/>
  <c r="C1397" i="8"/>
  <c r="C1396" i="8"/>
  <c r="C1395" i="8"/>
  <c r="C1394" i="8"/>
  <c r="C1393" i="8"/>
  <c r="C1392" i="8"/>
  <c r="C1391" i="8"/>
  <c r="C1390" i="8"/>
  <c r="C1389" i="8"/>
  <c r="C1388" i="8"/>
  <c r="C1387" i="8"/>
  <c r="C1386" i="8"/>
  <c r="C1385" i="8"/>
  <c r="C1384" i="8"/>
  <c r="C1383" i="8"/>
  <c r="C1382" i="8"/>
  <c r="C1381" i="8"/>
  <c r="C1380" i="8"/>
  <c r="C1379" i="8"/>
  <c r="C1378" i="8"/>
  <c r="C1377" i="8"/>
  <c r="C1376" i="8"/>
  <c r="C1375" i="8"/>
  <c r="C1374" i="8"/>
  <c r="C1373" i="8"/>
  <c r="C1372" i="8"/>
  <c r="C1371" i="8"/>
  <c r="C1370" i="8"/>
  <c r="C1369" i="8"/>
  <c r="C1368" i="8"/>
  <c r="C1367" i="8"/>
  <c r="C1366" i="8"/>
  <c r="C1365" i="8"/>
  <c r="C1364" i="8"/>
  <c r="C1363" i="8"/>
  <c r="C1362" i="8"/>
  <c r="C1361" i="8"/>
  <c r="C1360" i="8"/>
  <c r="C1359" i="8"/>
  <c r="C1358" i="8"/>
  <c r="C1357" i="8"/>
  <c r="C1356" i="8"/>
  <c r="C1355" i="8"/>
  <c r="C1354" i="8"/>
  <c r="C1353" i="8"/>
  <c r="C1352" i="8"/>
  <c r="C1351" i="8"/>
  <c r="C1350" i="8"/>
  <c r="C1349" i="8"/>
  <c r="C1348" i="8"/>
  <c r="C1347" i="8"/>
  <c r="C1346" i="8"/>
  <c r="C1345" i="8"/>
  <c r="C1344" i="8"/>
  <c r="C1343" i="8"/>
  <c r="C1342" i="8"/>
  <c r="C1341" i="8"/>
  <c r="C1340" i="8"/>
  <c r="C1339" i="8"/>
  <c r="C1338" i="8"/>
  <c r="C1337" i="8"/>
  <c r="C1336" i="8"/>
  <c r="C1335" i="8"/>
  <c r="C1334" i="8"/>
  <c r="C1333" i="8"/>
  <c r="C1332" i="8"/>
  <c r="C1331" i="8"/>
  <c r="C1330" i="8"/>
  <c r="C1329" i="8"/>
  <c r="C1328" i="8"/>
  <c r="C1327" i="8"/>
  <c r="C1326" i="8"/>
  <c r="C1325" i="8"/>
  <c r="C1324" i="8"/>
  <c r="C1323" i="8"/>
  <c r="C1322" i="8"/>
  <c r="C1321" i="8"/>
  <c r="C1320" i="8"/>
  <c r="C1319" i="8"/>
  <c r="C1318" i="8"/>
  <c r="C1317" i="8"/>
  <c r="C1316" i="8"/>
  <c r="C1315" i="8"/>
  <c r="C1314" i="8"/>
  <c r="C1313" i="8"/>
  <c r="C1312" i="8"/>
  <c r="C1311" i="8"/>
  <c r="C1310" i="8"/>
  <c r="C1309" i="8"/>
  <c r="C1308" i="8"/>
  <c r="C1307" i="8"/>
  <c r="C1306" i="8"/>
  <c r="C1305" i="8"/>
  <c r="C1304" i="8"/>
  <c r="C1303" i="8"/>
  <c r="C1302" i="8"/>
  <c r="C1301" i="8"/>
  <c r="C1300" i="8"/>
  <c r="C1299" i="8"/>
  <c r="C1298" i="8"/>
  <c r="C1297" i="8"/>
  <c r="C1296" i="8"/>
  <c r="C1295" i="8"/>
  <c r="C1294" i="8"/>
  <c r="C1293" i="8"/>
  <c r="C1292" i="8"/>
  <c r="C1291" i="8"/>
  <c r="C1290" i="8"/>
  <c r="C1289" i="8"/>
  <c r="C1288" i="8"/>
  <c r="C1287" i="8"/>
  <c r="C1286" i="8"/>
  <c r="C1285" i="8"/>
  <c r="C1284" i="8"/>
  <c r="C1283" i="8"/>
  <c r="C1282" i="8"/>
  <c r="C1281" i="8"/>
  <c r="C1280" i="8"/>
  <c r="C1279" i="8"/>
  <c r="C1278" i="8"/>
  <c r="C1277" i="8"/>
  <c r="C1276" i="8"/>
  <c r="C1275" i="8"/>
  <c r="C1274" i="8"/>
  <c r="C1273" i="8"/>
  <c r="C1272" i="8"/>
  <c r="C1271" i="8"/>
  <c r="C1270" i="8"/>
  <c r="C1269" i="8"/>
  <c r="C1268" i="8"/>
  <c r="C1267" i="8"/>
  <c r="C1266" i="8"/>
  <c r="C1265" i="8"/>
  <c r="C1264" i="8"/>
  <c r="C1263" i="8"/>
  <c r="C1262" i="8"/>
  <c r="C1261" i="8"/>
  <c r="C1260" i="8"/>
  <c r="C1259" i="8"/>
  <c r="C1258" i="8"/>
  <c r="C1257" i="8"/>
  <c r="C1256" i="8"/>
  <c r="C1255" i="8"/>
  <c r="C1254" i="8"/>
  <c r="C1253" i="8"/>
  <c r="C1252" i="8"/>
  <c r="C1251" i="8"/>
  <c r="C1250" i="8"/>
  <c r="C1249" i="8"/>
  <c r="C1248" i="8"/>
  <c r="C1247" i="8"/>
  <c r="C1246" i="8"/>
  <c r="C1245" i="8"/>
  <c r="C1244" i="8"/>
  <c r="C1243" i="8"/>
  <c r="C1242" i="8"/>
  <c r="C1241" i="8"/>
  <c r="C1240" i="8"/>
  <c r="C1239" i="8"/>
  <c r="C1238" i="8"/>
  <c r="C1237" i="8"/>
  <c r="C1236" i="8"/>
  <c r="C1235" i="8"/>
  <c r="C1234" i="8"/>
  <c r="C1233" i="8"/>
  <c r="C1232" i="8"/>
  <c r="C1231" i="8"/>
  <c r="C1230" i="8"/>
  <c r="C1229" i="8"/>
  <c r="C1228" i="8"/>
  <c r="C1227" i="8"/>
  <c r="C1226" i="8"/>
  <c r="C1225" i="8"/>
  <c r="C1224" i="8"/>
  <c r="C1223" i="8"/>
  <c r="C1222" i="8"/>
  <c r="C1221" i="8"/>
  <c r="C1220" i="8"/>
  <c r="C1219" i="8"/>
  <c r="C1218" i="8"/>
  <c r="C1217" i="8"/>
  <c r="C1216" i="8"/>
  <c r="C1215" i="8"/>
  <c r="C1214" i="8"/>
  <c r="C1213" i="8"/>
  <c r="C1212" i="8"/>
  <c r="C1211" i="8"/>
  <c r="C1210" i="8"/>
  <c r="C1209" i="8"/>
  <c r="C1208" i="8"/>
  <c r="C1207" i="8"/>
  <c r="C1206" i="8"/>
  <c r="C1205" i="8"/>
  <c r="C1204" i="8"/>
  <c r="C1203" i="8"/>
  <c r="C1202" i="8"/>
  <c r="C1201" i="8"/>
  <c r="C1200" i="8"/>
  <c r="C1199" i="8"/>
  <c r="C1198" i="8"/>
  <c r="C1197" i="8"/>
  <c r="C1196" i="8"/>
  <c r="C1195" i="8"/>
  <c r="C1194" i="8"/>
  <c r="C1193" i="8"/>
  <c r="C1192" i="8"/>
  <c r="C1191" i="8"/>
  <c r="C1190" i="8"/>
  <c r="C1189" i="8"/>
  <c r="C1188" i="8"/>
  <c r="C1187" i="8"/>
  <c r="C1186" i="8"/>
  <c r="C1185" i="8"/>
  <c r="C1184" i="8"/>
  <c r="C1183" i="8"/>
  <c r="C1182" i="8"/>
  <c r="C1181" i="8"/>
  <c r="C1180" i="8"/>
  <c r="C1179" i="8"/>
  <c r="C1178" i="8"/>
  <c r="C1177" i="8"/>
  <c r="C1176" i="8"/>
  <c r="C1175" i="8"/>
  <c r="C1174" i="8"/>
  <c r="C1173" i="8"/>
  <c r="C1172" i="8"/>
  <c r="C1171" i="8"/>
  <c r="C1170" i="8"/>
  <c r="C1169" i="8"/>
  <c r="C1168" i="8"/>
  <c r="C1167" i="8"/>
  <c r="C1166" i="8"/>
  <c r="C1165" i="8"/>
  <c r="C1164" i="8"/>
  <c r="C1163" i="8"/>
  <c r="C1162" i="8"/>
  <c r="C1161" i="8"/>
  <c r="C1160" i="8"/>
  <c r="C1159" i="8"/>
  <c r="C1158" i="8"/>
  <c r="C1157" i="8"/>
  <c r="C1156" i="8"/>
  <c r="C1155" i="8"/>
  <c r="C1154" i="8"/>
  <c r="C1153" i="8"/>
  <c r="C1152" i="8"/>
  <c r="C1151" i="8"/>
  <c r="C1150" i="8"/>
  <c r="C1149" i="8"/>
  <c r="C1148" i="8"/>
  <c r="C1147" i="8"/>
  <c r="C1146" i="8"/>
  <c r="C1145" i="8"/>
  <c r="C1144" i="8"/>
  <c r="C1143" i="8"/>
  <c r="C1142" i="8"/>
  <c r="C1141" i="8"/>
  <c r="C1140" i="8"/>
  <c r="C1139" i="8"/>
  <c r="C1138" i="8"/>
  <c r="C1137" i="8"/>
  <c r="C1136" i="8"/>
  <c r="C1135" i="8"/>
  <c r="C1134" i="8"/>
  <c r="C1133" i="8"/>
  <c r="C1132" i="8"/>
  <c r="C1131" i="8"/>
  <c r="C1130" i="8"/>
  <c r="C1129" i="8"/>
  <c r="C1128" i="8"/>
  <c r="C1127" i="8"/>
  <c r="C1126" i="8"/>
  <c r="C1125" i="8"/>
  <c r="C1124" i="8"/>
  <c r="C1123" i="8"/>
  <c r="C1122" i="8"/>
  <c r="C1121" i="8"/>
  <c r="C1120" i="8"/>
  <c r="C1119" i="8"/>
  <c r="C1118" i="8"/>
  <c r="C1117" i="8"/>
  <c r="C1116" i="8"/>
  <c r="C1115" i="8"/>
  <c r="C1114" i="8"/>
  <c r="C1113" i="8"/>
  <c r="C1112" i="8"/>
  <c r="C1111" i="8"/>
  <c r="C1110" i="8"/>
  <c r="C1109" i="8"/>
  <c r="C1108" i="8"/>
  <c r="C1107" i="8"/>
  <c r="C1106" i="8"/>
  <c r="C1105" i="8"/>
  <c r="C1104" i="8"/>
  <c r="C1103" i="8"/>
  <c r="C1102" i="8"/>
  <c r="C1101" i="8"/>
  <c r="C1100" i="8"/>
  <c r="C1099" i="8"/>
  <c r="C1098" i="8"/>
  <c r="C1097" i="8"/>
  <c r="C1096" i="8"/>
  <c r="C1095" i="8"/>
  <c r="C1094" i="8"/>
  <c r="C1093" i="8"/>
  <c r="C1092" i="8"/>
  <c r="C1091" i="8"/>
  <c r="C1090" i="8"/>
  <c r="C1089" i="8"/>
  <c r="C1088" i="8"/>
  <c r="C1087" i="8"/>
  <c r="C1086" i="8"/>
  <c r="C1085" i="8"/>
  <c r="C1084" i="8"/>
  <c r="C1083" i="8"/>
  <c r="C1082" i="8"/>
  <c r="C1081" i="8"/>
  <c r="C1080" i="8"/>
  <c r="C1079" i="8"/>
  <c r="C1078" i="8"/>
  <c r="C1077" i="8"/>
  <c r="C1076" i="8"/>
  <c r="C1075" i="8"/>
  <c r="C1074" i="8"/>
  <c r="C1073" i="8"/>
  <c r="C1072" i="8"/>
  <c r="C1071" i="8"/>
  <c r="C1070" i="8"/>
  <c r="C1069" i="8"/>
  <c r="C1068" i="8"/>
  <c r="C1067" i="8"/>
  <c r="C1066" i="8"/>
  <c r="C1065" i="8"/>
  <c r="C1064" i="8"/>
  <c r="C1063" i="8"/>
  <c r="C1062" i="8"/>
  <c r="C1061" i="8"/>
  <c r="C1060" i="8"/>
  <c r="C1059" i="8"/>
  <c r="C1058" i="8"/>
  <c r="C1057" i="8"/>
  <c r="C1056" i="8"/>
  <c r="C1055" i="8"/>
  <c r="C1054" i="8"/>
  <c r="C1053" i="8"/>
  <c r="C1052" i="8"/>
  <c r="C1051" i="8"/>
  <c r="C1050" i="8"/>
  <c r="C1049" i="8"/>
  <c r="C1048" i="8"/>
  <c r="C1047" i="8"/>
  <c r="C1046" i="8"/>
  <c r="C1045" i="8"/>
  <c r="C1044" i="8"/>
  <c r="C1043" i="8"/>
  <c r="C1042" i="8"/>
  <c r="C1041" i="8"/>
  <c r="C1040" i="8"/>
  <c r="C1039" i="8"/>
  <c r="C1038" i="8"/>
  <c r="C1037" i="8"/>
  <c r="C1036" i="8"/>
  <c r="C1035" i="8"/>
  <c r="C1034" i="8"/>
  <c r="C1033" i="8"/>
  <c r="C1032" i="8"/>
  <c r="C1031" i="8"/>
  <c r="C1030" i="8"/>
  <c r="C1029" i="8"/>
  <c r="C1028" i="8"/>
  <c r="C1027" i="8"/>
  <c r="C1026" i="8"/>
  <c r="C1025" i="8"/>
  <c r="C1024" i="8"/>
  <c r="C1023" i="8"/>
  <c r="C1022" i="8"/>
  <c r="C1021" i="8"/>
  <c r="C1020" i="8"/>
  <c r="C1019" i="8"/>
  <c r="C1018" i="8"/>
  <c r="C1017" i="8"/>
  <c r="C1016" i="8"/>
  <c r="C1015" i="8"/>
  <c r="C1014" i="8"/>
  <c r="C1013" i="8"/>
  <c r="C1012" i="8"/>
  <c r="C1011" i="8"/>
  <c r="C1010" i="8"/>
  <c r="C1009" i="8"/>
  <c r="C1008" i="8"/>
  <c r="C1007" i="8"/>
  <c r="C1006" i="8"/>
  <c r="C1005" i="8"/>
  <c r="C1004" i="8"/>
  <c r="C1003" i="8"/>
  <c r="C1002" i="8"/>
  <c r="C1001" i="8"/>
  <c r="C1000" i="8"/>
  <c r="C999" i="8"/>
  <c r="C998" i="8"/>
  <c r="C997" i="8"/>
  <c r="C996" i="8"/>
  <c r="C995" i="8"/>
  <c r="C994" i="8"/>
  <c r="C993" i="8"/>
  <c r="C992" i="8"/>
  <c r="C991" i="8"/>
  <c r="C990" i="8"/>
  <c r="C989" i="8"/>
  <c r="C988" i="8"/>
  <c r="C987" i="8"/>
  <c r="C986" i="8"/>
  <c r="C985" i="8"/>
  <c r="C984" i="8"/>
  <c r="C983" i="8"/>
  <c r="C982" i="8"/>
  <c r="C981" i="8"/>
  <c r="C980" i="8"/>
  <c r="C979" i="8"/>
  <c r="C978" i="8"/>
  <c r="C977" i="8"/>
  <c r="C976" i="8"/>
  <c r="C975" i="8"/>
  <c r="C974" i="8"/>
  <c r="C973" i="8"/>
  <c r="C972" i="8"/>
  <c r="C971" i="8"/>
  <c r="C970" i="8"/>
  <c r="C969" i="8"/>
  <c r="C968" i="8"/>
  <c r="C967" i="8"/>
  <c r="C966" i="8"/>
  <c r="C965" i="8"/>
  <c r="C964" i="8"/>
  <c r="C963" i="8"/>
  <c r="C962" i="8"/>
  <c r="C961" i="8"/>
  <c r="C960" i="8"/>
  <c r="C959" i="8"/>
  <c r="C958" i="8"/>
  <c r="C957" i="8"/>
  <c r="C956" i="8"/>
  <c r="C955" i="8"/>
  <c r="C954" i="8"/>
  <c r="C953" i="8"/>
  <c r="C952" i="8"/>
  <c r="C951" i="8"/>
  <c r="C950" i="8"/>
  <c r="C949" i="8"/>
  <c r="C948" i="8"/>
  <c r="C947" i="8"/>
  <c r="C946" i="8"/>
  <c r="C945" i="8"/>
  <c r="C944" i="8"/>
  <c r="C943" i="8"/>
  <c r="C942" i="8"/>
  <c r="C941" i="8"/>
  <c r="C940" i="8"/>
  <c r="C939" i="8"/>
  <c r="C938" i="8"/>
  <c r="C937" i="8"/>
  <c r="C936" i="8"/>
  <c r="C935" i="8"/>
  <c r="C934" i="8"/>
  <c r="C933" i="8"/>
  <c r="C932" i="8"/>
  <c r="C931" i="8"/>
  <c r="C930" i="8"/>
  <c r="C929" i="8"/>
  <c r="C928" i="8"/>
  <c r="C927" i="8"/>
  <c r="C926" i="8"/>
  <c r="C925" i="8"/>
  <c r="C924" i="8"/>
  <c r="C923" i="8"/>
  <c r="C922" i="8"/>
  <c r="C921" i="8"/>
  <c r="C920" i="8"/>
  <c r="C919" i="8"/>
  <c r="C918" i="8"/>
  <c r="C917" i="8"/>
  <c r="C916" i="8"/>
  <c r="C915" i="8"/>
  <c r="C914" i="8"/>
  <c r="C913" i="8"/>
  <c r="C912" i="8"/>
  <c r="C911" i="8"/>
  <c r="C910" i="8"/>
  <c r="C909" i="8"/>
  <c r="C908" i="8"/>
  <c r="C907" i="8"/>
  <c r="C906" i="8"/>
  <c r="C905" i="8"/>
  <c r="C904" i="8"/>
  <c r="C903" i="8"/>
  <c r="C902" i="8"/>
  <c r="C901" i="8"/>
  <c r="C900" i="8"/>
  <c r="C899" i="8"/>
  <c r="C898" i="8"/>
  <c r="C897" i="8"/>
  <c r="C896" i="8"/>
  <c r="C895" i="8"/>
  <c r="C894" i="8"/>
  <c r="C893" i="8"/>
  <c r="C892" i="8"/>
  <c r="C891" i="8"/>
  <c r="C890" i="8"/>
  <c r="C889" i="8"/>
  <c r="C888" i="8"/>
  <c r="C887" i="8"/>
  <c r="C886" i="8"/>
  <c r="C885" i="8"/>
  <c r="C884" i="8"/>
  <c r="C883" i="8"/>
  <c r="C882" i="8"/>
  <c r="C881" i="8"/>
  <c r="C880" i="8"/>
  <c r="C879" i="8"/>
  <c r="C878" i="8"/>
  <c r="C877" i="8"/>
  <c r="C876" i="8"/>
  <c r="C875" i="8"/>
  <c r="C874" i="8"/>
  <c r="C873" i="8"/>
  <c r="C872" i="8"/>
  <c r="C871" i="8"/>
  <c r="C870" i="8"/>
  <c r="C869" i="8"/>
  <c r="C868" i="8"/>
  <c r="C867" i="8"/>
  <c r="C866" i="8"/>
  <c r="C865" i="8"/>
  <c r="C864" i="8"/>
  <c r="C863" i="8"/>
  <c r="C862" i="8"/>
  <c r="C861" i="8"/>
  <c r="C860" i="8"/>
  <c r="C859" i="8"/>
  <c r="C858" i="8"/>
  <c r="C857" i="8"/>
  <c r="C856" i="8"/>
  <c r="C855" i="8"/>
  <c r="C854" i="8"/>
  <c r="C853" i="8"/>
  <c r="C852" i="8"/>
  <c r="C851" i="8"/>
  <c r="C850" i="8"/>
  <c r="C849" i="8"/>
  <c r="C848" i="8"/>
  <c r="C847" i="8"/>
  <c r="C846" i="8"/>
  <c r="C845" i="8"/>
  <c r="C844" i="8"/>
  <c r="C843" i="8"/>
  <c r="C842" i="8"/>
  <c r="C841" i="8"/>
  <c r="C840" i="8"/>
  <c r="C839" i="8"/>
  <c r="C838" i="8"/>
  <c r="C837" i="8"/>
  <c r="C836" i="8"/>
  <c r="C835" i="8"/>
  <c r="C834" i="8"/>
  <c r="C833" i="8"/>
  <c r="C832" i="8"/>
  <c r="C831" i="8"/>
  <c r="C830" i="8"/>
  <c r="C829" i="8"/>
  <c r="C828" i="8"/>
  <c r="C827" i="8"/>
  <c r="C826" i="8"/>
  <c r="C825" i="8"/>
  <c r="C824" i="8"/>
  <c r="C823" i="8"/>
  <c r="C822" i="8"/>
  <c r="C821" i="8"/>
  <c r="C820" i="8"/>
  <c r="C819" i="8"/>
  <c r="C818" i="8"/>
  <c r="C817" i="8"/>
  <c r="C816" i="8"/>
  <c r="C815" i="8"/>
  <c r="C814" i="8"/>
  <c r="C813" i="8"/>
  <c r="C812" i="8"/>
  <c r="C811" i="8"/>
  <c r="C810" i="8"/>
  <c r="C809" i="8"/>
  <c r="C808" i="8"/>
  <c r="C807" i="8"/>
  <c r="C806" i="8"/>
  <c r="C805" i="8"/>
  <c r="C804" i="8"/>
  <c r="C803" i="8"/>
  <c r="C802" i="8"/>
  <c r="C801" i="8"/>
  <c r="C800" i="8"/>
  <c r="C799" i="8"/>
  <c r="C798" i="8"/>
  <c r="C797" i="8"/>
  <c r="C796" i="8"/>
  <c r="C795" i="8"/>
  <c r="C794" i="8"/>
  <c r="C793" i="8"/>
  <c r="C792" i="8"/>
  <c r="C791" i="8"/>
  <c r="C790" i="8"/>
  <c r="C789" i="8"/>
  <c r="C788" i="8"/>
  <c r="C787" i="8"/>
  <c r="C786" i="8"/>
  <c r="C785" i="8"/>
  <c r="C784" i="8"/>
  <c r="C783" i="8"/>
  <c r="C782" i="8"/>
  <c r="C781" i="8"/>
  <c r="C780" i="8"/>
  <c r="C779" i="8"/>
  <c r="C778" i="8"/>
  <c r="C777" i="8"/>
  <c r="C776" i="8"/>
  <c r="C775" i="8"/>
  <c r="C774" i="8"/>
  <c r="C773" i="8"/>
  <c r="C772" i="8"/>
  <c r="C771" i="8"/>
  <c r="C770" i="8"/>
  <c r="C769" i="8"/>
  <c r="C768" i="8"/>
  <c r="C767" i="8"/>
  <c r="C766" i="8"/>
  <c r="C765" i="8"/>
  <c r="C764" i="8"/>
  <c r="C763" i="8"/>
  <c r="C762" i="8"/>
  <c r="C761" i="8"/>
  <c r="C760" i="8"/>
  <c r="C759" i="8"/>
  <c r="C758" i="8"/>
  <c r="C757" i="8"/>
  <c r="C756" i="8"/>
  <c r="C755" i="8"/>
  <c r="C754" i="8"/>
  <c r="C753" i="8"/>
  <c r="C752" i="8"/>
  <c r="C751" i="8"/>
  <c r="C750" i="8"/>
  <c r="C749" i="8"/>
  <c r="C748" i="8"/>
  <c r="C747" i="8"/>
  <c r="C746" i="8"/>
  <c r="C745" i="8"/>
  <c r="C744" i="8"/>
  <c r="C743" i="8"/>
  <c r="C742" i="8"/>
  <c r="C741" i="8"/>
  <c r="C740" i="8"/>
  <c r="C739" i="8"/>
  <c r="C738" i="8"/>
  <c r="C737" i="8"/>
  <c r="C736" i="8"/>
  <c r="C735" i="8"/>
  <c r="C734" i="8"/>
  <c r="C733" i="8"/>
  <c r="C732" i="8"/>
  <c r="C731" i="8"/>
  <c r="C730" i="8"/>
  <c r="C729" i="8"/>
  <c r="C728" i="8"/>
  <c r="C727" i="8"/>
  <c r="C726" i="8"/>
  <c r="C725" i="8"/>
  <c r="C724" i="8"/>
  <c r="C723" i="8"/>
  <c r="C722" i="8"/>
  <c r="C721" i="8"/>
  <c r="C720" i="8"/>
  <c r="C719" i="8"/>
  <c r="C718" i="8"/>
  <c r="C717" i="8"/>
  <c r="C716" i="8"/>
  <c r="C715" i="8"/>
  <c r="C714" i="8"/>
  <c r="C713" i="8"/>
  <c r="C712" i="8"/>
  <c r="C711" i="8"/>
  <c r="C710" i="8"/>
  <c r="C709" i="8"/>
  <c r="C708" i="8"/>
  <c r="C707" i="8"/>
  <c r="C706" i="8"/>
  <c r="C705" i="8"/>
  <c r="C704" i="8"/>
  <c r="C703" i="8"/>
  <c r="C702" i="8"/>
  <c r="C701" i="8"/>
  <c r="C700" i="8"/>
  <c r="C699" i="8"/>
  <c r="C698" i="8"/>
  <c r="C697" i="8"/>
  <c r="C696" i="8"/>
  <c r="C695" i="8"/>
  <c r="C694" i="8"/>
  <c r="C693" i="8"/>
  <c r="C692" i="8"/>
  <c r="C691" i="8"/>
  <c r="C690" i="8"/>
  <c r="C689" i="8"/>
  <c r="C688" i="8"/>
  <c r="C687" i="8"/>
  <c r="C686" i="8"/>
  <c r="C685" i="8"/>
  <c r="C684" i="8"/>
  <c r="C683" i="8"/>
  <c r="C682" i="8"/>
  <c r="C681" i="8"/>
  <c r="C680" i="8"/>
  <c r="C679" i="8"/>
  <c r="C678" i="8"/>
  <c r="C677" i="8"/>
  <c r="C676" i="8"/>
  <c r="C675" i="8"/>
  <c r="C674" i="8"/>
  <c r="C673" i="8"/>
  <c r="C672" i="8"/>
  <c r="C671" i="8"/>
  <c r="C670" i="8"/>
  <c r="C669" i="8"/>
  <c r="C668" i="8"/>
  <c r="C667" i="8"/>
  <c r="C666" i="8"/>
  <c r="C665" i="8"/>
  <c r="C664" i="8"/>
  <c r="C663" i="8"/>
  <c r="C662" i="8"/>
  <c r="C661" i="8"/>
  <c r="C660" i="8"/>
  <c r="C659" i="8"/>
  <c r="C658" i="8"/>
  <c r="C657" i="8"/>
  <c r="C656" i="8"/>
  <c r="C655" i="8"/>
  <c r="C654" i="8"/>
  <c r="C653" i="8"/>
  <c r="C652" i="8"/>
  <c r="C651" i="8"/>
  <c r="C650" i="8"/>
  <c r="C649" i="8"/>
  <c r="C648" i="8"/>
  <c r="C647" i="8"/>
  <c r="C646" i="8"/>
  <c r="C645" i="8"/>
  <c r="C644" i="8"/>
  <c r="C643" i="8"/>
  <c r="C642" i="8"/>
  <c r="C641" i="8"/>
  <c r="C640" i="8"/>
  <c r="C639" i="8"/>
  <c r="C638" i="8"/>
  <c r="C637" i="8"/>
  <c r="C636" i="8"/>
  <c r="C635" i="8"/>
  <c r="C634" i="8"/>
  <c r="C633" i="8"/>
  <c r="C632" i="8"/>
  <c r="C631" i="8"/>
  <c r="C630" i="8"/>
  <c r="C629" i="8"/>
  <c r="C628" i="8"/>
  <c r="C627" i="8"/>
  <c r="C626" i="8"/>
  <c r="C625" i="8"/>
  <c r="C624" i="8"/>
  <c r="C623" i="8"/>
  <c r="C622" i="8"/>
  <c r="C621" i="8"/>
  <c r="C620" i="8"/>
  <c r="C619" i="8"/>
  <c r="C618" i="8"/>
  <c r="C617" i="8"/>
  <c r="C616" i="8"/>
  <c r="C615" i="8"/>
  <c r="C614" i="8"/>
  <c r="C613" i="8"/>
  <c r="C612" i="8"/>
  <c r="C611" i="8"/>
  <c r="C610" i="8"/>
  <c r="C609" i="8"/>
  <c r="C608" i="8"/>
  <c r="C607" i="8"/>
  <c r="C606" i="8"/>
  <c r="C605" i="8"/>
  <c r="C604" i="8"/>
  <c r="C603" i="8"/>
  <c r="C602" i="8"/>
  <c r="C601" i="8"/>
  <c r="C600" i="8"/>
  <c r="C599" i="8"/>
  <c r="C598" i="8"/>
  <c r="C597" i="8"/>
  <c r="C596" i="8"/>
  <c r="C595" i="8"/>
  <c r="C594" i="8"/>
  <c r="C593" i="8"/>
  <c r="C592" i="8"/>
  <c r="C591" i="8"/>
  <c r="C590" i="8"/>
  <c r="C589" i="8"/>
  <c r="C588" i="8"/>
  <c r="C587" i="8"/>
  <c r="C586" i="8"/>
  <c r="C585" i="8"/>
  <c r="C584" i="8"/>
  <c r="C583" i="8"/>
  <c r="C582" i="8"/>
  <c r="C581" i="8"/>
  <c r="C580" i="8"/>
  <c r="C579" i="8"/>
  <c r="C578" i="8"/>
  <c r="C577" i="8"/>
  <c r="C576" i="8"/>
  <c r="C575" i="8"/>
  <c r="C574" i="8"/>
  <c r="C573" i="8"/>
  <c r="C572" i="8"/>
  <c r="C571" i="8"/>
  <c r="C570" i="8"/>
  <c r="C569" i="8"/>
  <c r="C568" i="8"/>
  <c r="C567" i="8"/>
  <c r="C566" i="8"/>
  <c r="C565" i="8"/>
  <c r="C564" i="8"/>
  <c r="C563" i="8"/>
  <c r="C562" i="8"/>
  <c r="C561" i="8"/>
  <c r="C560" i="8"/>
  <c r="C559" i="8"/>
  <c r="C558" i="8"/>
  <c r="C557" i="8"/>
  <c r="C556" i="8"/>
  <c r="C555" i="8"/>
  <c r="C554" i="8"/>
  <c r="C553" i="8"/>
  <c r="C552" i="8"/>
  <c r="C551" i="8"/>
  <c r="C550" i="8"/>
  <c r="C549" i="8"/>
  <c r="C548" i="8"/>
  <c r="C547" i="8"/>
  <c r="C546" i="8"/>
  <c r="C545" i="8"/>
  <c r="C544" i="8"/>
  <c r="C543" i="8"/>
  <c r="C542" i="8"/>
  <c r="C541" i="8"/>
  <c r="C540" i="8"/>
  <c r="C539" i="8"/>
  <c r="C538" i="8"/>
  <c r="C537" i="8"/>
  <c r="C536" i="8"/>
  <c r="C535" i="8"/>
  <c r="C534" i="8"/>
  <c r="C533" i="8"/>
  <c r="C532" i="8"/>
  <c r="C531" i="8"/>
  <c r="C530" i="8"/>
  <c r="C529" i="8"/>
  <c r="C528" i="8"/>
  <c r="C527" i="8"/>
  <c r="C526" i="8"/>
  <c r="C525" i="8"/>
  <c r="C524" i="8"/>
  <c r="C523" i="8"/>
  <c r="C522" i="8"/>
  <c r="C521" i="8"/>
  <c r="C520" i="8"/>
  <c r="C519" i="8"/>
  <c r="C518" i="8"/>
  <c r="C517" i="8"/>
  <c r="C516" i="8"/>
  <c r="C515" i="8"/>
  <c r="C514" i="8"/>
  <c r="C513" i="8"/>
  <c r="C512" i="8"/>
  <c r="C511" i="8"/>
  <c r="C510" i="8"/>
  <c r="C509" i="8"/>
  <c r="C508" i="8"/>
  <c r="C507" i="8"/>
  <c r="C506" i="8"/>
  <c r="C505" i="8"/>
  <c r="D504" i="8"/>
  <c r="C504" i="8"/>
  <c r="D503" i="8"/>
  <c r="C503" i="8"/>
  <c r="D502" i="8"/>
  <c r="C502" i="8"/>
  <c r="D501" i="8"/>
  <c r="C501" i="8"/>
  <c r="D500" i="8"/>
  <c r="C500" i="8"/>
  <c r="D499" i="8"/>
  <c r="C499" i="8"/>
  <c r="D498" i="8"/>
  <c r="C498" i="8"/>
  <c r="D497" i="8"/>
  <c r="C497" i="8"/>
  <c r="D496" i="8"/>
  <c r="C496" i="8"/>
  <c r="D495" i="8"/>
  <c r="C495" i="8"/>
  <c r="D494" i="8"/>
  <c r="C494" i="8"/>
  <c r="D493" i="8"/>
  <c r="C493" i="8"/>
  <c r="D492" i="8"/>
  <c r="C492" i="8"/>
  <c r="D491" i="8"/>
  <c r="C491" i="8"/>
  <c r="D490" i="8"/>
  <c r="C490" i="8"/>
  <c r="D489" i="8"/>
  <c r="C489" i="8"/>
  <c r="D488" i="8"/>
  <c r="C488" i="8"/>
  <c r="D487" i="8"/>
  <c r="C487" i="8"/>
  <c r="D486" i="8"/>
  <c r="C486" i="8"/>
  <c r="D485" i="8"/>
  <c r="C485" i="8"/>
  <c r="D484" i="8"/>
  <c r="C484" i="8"/>
  <c r="D483" i="8"/>
  <c r="C483" i="8"/>
  <c r="D482" i="8"/>
  <c r="C482" i="8"/>
  <c r="D481" i="8"/>
  <c r="C481" i="8"/>
  <c r="D480" i="8"/>
  <c r="C480" i="8"/>
  <c r="D479" i="8"/>
  <c r="C479" i="8"/>
  <c r="D478" i="8"/>
  <c r="C478" i="8"/>
  <c r="D477" i="8"/>
  <c r="C477" i="8"/>
  <c r="D476" i="8"/>
  <c r="C476" i="8"/>
  <c r="D475" i="8"/>
  <c r="C475" i="8"/>
  <c r="D474" i="8"/>
  <c r="C474" i="8"/>
  <c r="D473" i="8"/>
  <c r="C473" i="8"/>
  <c r="D472" i="8"/>
  <c r="C472" i="8"/>
  <c r="D471" i="8"/>
  <c r="C471" i="8"/>
  <c r="D470" i="8"/>
  <c r="C470" i="8"/>
  <c r="D469" i="8"/>
  <c r="C469" i="8"/>
  <c r="D468" i="8"/>
  <c r="C468" i="8"/>
  <c r="D467" i="8"/>
  <c r="C467" i="8"/>
  <c r="D466" i="8"/>
  <c r="C466" i="8"/>
  <c r="D465" i="8"/>
  <c r="C465" i="8"/>
  <c r="D464" i="8"/>
  <c r="C464" i="8"/>
  <c r="D463" i="8"/>
  <c r="C463" i="8"/>
  <c r="D462" i="8"/>
  <c r="C462" i="8"/>
  <c r="D461" i="8"/>
  <c r="C461" i="8"/>
  <c r="D460" i="8"/>
  <c r="C460" i="8"/>
  <c r="D459" i="8"/>
  <c r="C459" i="8"/>
  <c r="D458" i="8"/>
  <c r="C458" i="8"/>
  <c r="D457" i="8"/>
  <c r="C457" i="8"/>
  <c r="D456" i="8"/>
  <c r="C456" i="8"/>
  <c r="D455" i="8"/>
  <c r="C455" i="8"/>
  <c r="D454" i="8"/>
  <c r="C454" i="8"/>
  <c r="D453" i="8"/>
  <c r="C453" i="8"/>
  <c r="D452" i="8"/>
  <c r="C452" i="8"/>
  <c r="D451" i="8"/>
  <c r="C451" i="8"/>
  <c r="D450" i="8"/>
  <c r="C450" i="8"/>
  <c r="D449" i="8"/>
  <c r="C449" i="8"/>
  <c r="D448" i="8"/>
  <c r="C448" i="8"/>
  <c r="D447" i="8"/>
  <c r="C447" i="8"/>
  <c r="D446" i="8"/>
  <c r="C446" i="8"/>
  <c r="D445" i="8"/>
  <c r="C445" i="8"/>
  <c r="D444" i="8"/>
  <c r="C444" i="8"/>
  <c r="D443" i="8"/>
  <c r="C443" i="8"/>
  <c r="D442" i="8"/>
  <c r="C442" i="8"/>
  <c r="D441" i="8"/>
  <c r="C441" i="8"/>
  <c r="D440" i="8"/>
  <c r="C440" i="8"/>
  <c r="D439" i="8"/>
  <c r="C439" i="8"/>
  <c r="D438" i="8"/>
  <c r="C438" i="8"/>
  <c r="D437" i="8"/>
  <c r="C437" i="8"/>
  <c r="D436" i="8"/>
  <c r="C436" i="8"/>
  <c r="D435" i="8"/>
  <c r="C435" i="8"/>
  <c r="D434" i="8"/>
  <c r="C434" i="8"/>
  <c r="D433" i="8"/>
  <c r="C433" i="8"/>
  <c r="D432" i="8"/>
  <c r="C432" i="8"/>
  <c r="D431" i="8"/>
  <c r="C431" i="8"/>
  <c r="D430" i="8"/>
  <c r="C430" i="8"/>
  <c r="D429" i="8"/>
  <c r="C429" i="8"/>
  <c r="D428" i="8"/>
  <c r="C428" i="8"/>
  <c r="D427" i="8"/>
  <c r="C427" i="8"/>
  <c r="D426" i="8"/>
  <c r="C426" i="8"/>
  <c r="D425" i="8"/>
  <c r="C425" i="8"/>
  <c r="D424" i="8"/>
  <c r="C424" i="8"/>
  <c r="D423" i="8"/>
  <c r="C423" i="8"/>
  <c r="D422" i="8"/>
  <c r="C422" i="8"/>
  <c r="D421" i="8"/>
  <c r="C421" i="8"/>
  <c r="D420" i="8"/>
  <c r="C420" i="8"/>
  <c r="D419" i="8"/>
  <c r="C419" i="8"/>
  <c r="D418" i="8"/>
  <c r="C418" i="8"/>
  <c r="D417" i="8"/>
  <c r="C417" i="8"/>
  <c r="D416" i="8"/>
  <c r="C416" i="8"/>
  <c r="D415" i="8"/>
  <c r="C415" i="8"/>
  <c r="D414" i="8"/>
  <c r="C414" i="8"/>
  <c r="D413" i="8"/>
  <c r="C413" i="8"/>
  <c r="D412" i="8"/>
  <c r="C412" i="8"/>
  <c r="D411" i="8"/>
  <c r="C411" i="8"/>
  <c r="D410" i="8"/>
  <c r="C410" i="8"/>
  <c r="D409" i="8"/>
  <c r="C409" i="8"/>
  <c r="D408" i="8"/>
  <c r="C408" i="8"/>
  <c r="D407" i="8"/>
  <c r="C407" i="8"/>
  <c r="D406" i="8"/>
  <c r="C406" i="8"/>
  <c r="D405" i="8"/>
  <c r="C405" i="8"/>
  <c r="D404" i="8"/>
  <c r="C404" i="8"/>
  <c r="D403" i="8"/>
  <c r="C403" i="8"/>
  <c r="D402" i="8"/>
  <c r="C402" i="8"/>
  <c r="D401" i="8"/>
  <c r="C401" i="8"/>
  <c r="D400" i="8"/>
  <c r="C400" i="8"/>
  <c r="D399" i="8"/>
  <c r="C399" i="8"/>
  <c r="D398" i="8"/>
  <c r="C398" i="8"/>
  <c r="D397" i="8"/>
  <c r="C397" i="8"/>
  <c r="D396" i="8"/>
  <c r="C396" i="8"/>
  <c r="D395" i="8"/>
  <c r="C395" i="8"/>
  <c r="D394" i="8"/>
  <c r="C394" i="8"/>
  <c r="D393" i="8"/>
  <c r="C393" i="8"/>
  <c r="D392" i="8"/>
  <c r="C392" i="8"/>
  <c r="D391" i="8"/>
  <c r="C391" i="8"/>
  <c r="D390" i="8"/>
  <c r="C390" i="8"/>
  <c r="D389" i="8"/>
  <c r="C389" i="8"/>
  <c r="D388" i="8"/>
  <c r="C388" i="8"/>
  <c r="D387" i="8"/>
  <c r="C387" i="8"/>
  <c r="D386" i="8"/>
  <c r="C386" i="8"/>
  <c r="D385" i="8"/>
  <c r="C385" i="8"/>
  <c r="D384" i="8"/>
  <c r="C384" i="8"/>
  <c r="D383" i="8"/>
  <c r="C383" i="8"/>
  <c r="D382" i="8"/>
  <c r="C382" i="8"/>
  <c r="D381" i="8"/>
  <c r="C381" i="8"/>
  <c r="D380" i="8"/>
  <c r="C380" i="8"/>
  <c r="D379" i="8"/>
  <c r="C379" i="8"/>
  <c r="D378" i="8"/>
  <c r="C378" i="8"/>
  <c r="D377" i="8"/>
  <c r="C377" i="8"/>
  <c r="D376" i="8"/>
  <c r="C376" i="8"/>
  <c r="D375" i="8"/>
  <c r="C375" i="8"/>
  <c r="D374" i="8"/>
  <c r="C374" i="8"/>
  <c r="D373" i="8"/>
  <c r="C373" i="8"/>
  <c r="D372" i="8"/>
  <c r="C372" i="8"/>
  <c r="D371" i="8"/>
  <c r="C371" i="8"/>
  <c r="D370" i="8"/>
  <c r="C370" i="8"/>
  <c r="D369" i="8"/>
  <c r="C369" i="8"/>
  <c r="D368" i="8"/>
  <c r="C368" i="8"/>
  <c r="D367" i="8"/>
  <c r="C367" i="8"/>
  <c r="D366" i="8"/>
  <c r="C366" i="8"/>
  <c r="D365" i="8"/>
  <c r="C365" i="8"/>
  <c r="D364" i="8"/>
  <c r="C364" i="8"/>
  <c r="D363" i="8"/>
  <c r="C363" i="8"/>
  <c r="D362" i="8"/>
  <c r="C362" i="8"/>
  <c r="D361" i="8"/>
  <c r="C361" i="8"/>
  <c r="D360" i="8"/>
  <c r="C360" i="8"/>
  <c r="D359" i="8"/>
  <c r="C359" i="8"/>
  <c r="D358" i="8"/>
  <c r="C358" i="8"/>
  <c r="D357" i="8"/>
  <c r="C357" i="8"/>
  <c r="D356" i="8"/>
  <c r="C356" i="8"/>
  <c r="D355" i="8"/>
  <c r="C355" i="8"/>
  <c r="D354" i="8"/>
  <c r="C354" i="8"/>
  <c r="D353" i="8"/>
  <c r="C353" i="8"/>
  <c r="D352" i="8"/>
  <c r="C352" i="8"/>
  <c r="D351" i="8"/>
  <c r="C351" i="8"/>
  <c r="D350" i="8"/>
  <c r="C350" i="8"/>
  <c r="D349" i="8"/>
  <c r="C349" i="8"/>
  <c r="D348" i="8"/>
  <c r="C348" i="8"/>
  <c r="D347" i="8"/>
  <c r="C347" i="8"/>
  <c r="D346" i="8"/>
  <c r="C346" i="8"/>
  <c r="D345" i="8"/>
  <c r="C345" i="8"/>
  <c r="D344" i="8"/>
  <c r="C344" i="8"/>
  <c r="D343" i="8"/>
  <c r="C343" i="8"/>
  <c r="D342" i="8"/>
  <c r="C342" i="8"/>
  <c r="D341" i="8"/>
  <c r="C341" i="8"/>
  <c r="D340" i="8"/>
  <c r="C340" i="8"/>
  <c r="D339" i="8"/>
  <c r="C339" i="8"/>
  <c r="D338" i="8"/>
  <c r="C338" i="8"/>
  <c r="D337" i="8"/>
  <c r="C337" i="8"/>
  <c r="D336" i="8"/>
  <c r="C336" i="8"/>
  <c r="D335" i="8"/>
  <c r="C335" i="8"/>
  <c r="D334" i="8"/>
  <c r="C334" i="8"/>
  <c r="D333" i="8"/>
  <c r="C333" i="8"/>
  <c r="D332" i="8"/>
  <c r="C332" i="8"/>
  <c r="D331" i="8"/>
  <c r="C331" i="8"/>
  <c r="D330" i="8"/>
  <c r="C330" i="8"/>
  <c r="D329" i="8"/>
  <c r="C329" i="8"/>
  <c r="D328" i="8"/>
  <c r="C328" i="8"/>
  <c r="D327" i="8"/>
  <c r="C327" i="8"/>
  <c r="D326" i="8"/>
  <c r="C326" i="8"/>
  <c r="D325" i="8"/>
  <c r="C325" i="8"/>
  <c r="D324" i="8"/>
  <c r="C324" i="8"/>
  <c r="D323" i="8"/>
  <c r="C323" i="8"/>
  <c r="D322" i="8"/>
  <c r="C322" i="8"/>
  <c r="D321" i="8"/>
  <c r="C321" i="8"/>
  <c r="D320" i="8"/>
  <c r="C320" i="8"/>
  <c r="D319" i="8"/>
  <c r="C319" i="8"/>
  <c r="D318" i="8"/>
  <c r="C318" i="8"/>
  <c r="D317" i="8"/>
  <c r="C317" i="8"/>
  <c r="D316" i="8"/>
  <c r="C316" i="8"/>
  <c r="D315" i="8"/>
  <c r="C315" i="8"/>
  <c r="D314" i="8"/>
  <c r="C314" i="8"/>
  <c r="D313" i="8"/>
  <c r="C313" i="8"/>
  <c r="D312" i="8"/>
  <c r="C312" i="8"/>
  <c r="D311" i="8"/>
  <c r="C311" i="8"/>
  <c r="D310" i="8"/>
  <c r="C310" i="8"/>
  <c r="D309" i="8"/>
  <c r="C309" i="8"/>
  <c r="D308" i="8"/>
  <c r="C308" i="8"/>
  <c r="D307" i="8"/>
  <c r="C307" i="8"/>
  <c r="D306" i="8"/>
  <c r="C306" i="8"/>
  <c r="D305" i="8"/>
  <c r="C305" i="8"/>
  <c r="D304" i="8"/>
  <c r="C304" i="8"/>
  <c r="D303" i="8"/>
  <c r="C303" i="8"/>
  <c r="D302" i="8"/>
  <c r="C302" i="8"/>
  <c r="D301" i="8"/>
  <c r="C301" i="8"/>
  <c r="D300" i="8"/>
  <c r="C300" i="8"/>
  <c r="D299" i="8"/>
  <c r="C299" i="8"/>
  <c r="D298" i="8"/>
  <c r="C298" i="8"/>
  <c r="D297" i="8"/>
  <c r="C297" i="8"/>
  <c r="D296" i="8"/>
  <c r="C296" i="8"/>
  <c r="D295" i="8"/>
  <c r="C295" i="8"/>
  <c r="D294" i="8"/>
  <c r="C294" i="8"/>
  <c r="D293" i="8"/>
  <c r="C293" i="8"/>
  <c r="D292" i="8"/>
  <c r="C292" i="8"/>
  <c r="D291" i="8"/>
  <c r="C291" i="8"/>
  <c r="D290" i="8"/>
  <c r="C290" i="8"/>
  <c r="D289" i="8"/>
  <c r="C289" i="8"/>
  <c r="D288" i="8"/>
  <c r="C288" i="8"/>
  <c r="D287" i="8"/>
  <c r="C287" i="8"/>
  <c r="D286" i="8"/>
  <c r="C286" i="8"/>
  <c r="D285" i="8"/>
  <c r="C285" i="8"/>
  <c r="D284" i="8"/>
  <c r="C284" i="8"/>
  <c r="D283" i="8"/>
  <c r="C283" i="8"/>
  <c r="D282" i="8"/>
  <c r="C282" i="8"/>
  <c r="D281" i="8"/>
  <c r="C281" i="8"/>
  <c r="D280" i="8"/>
  <c r="C280" i="8"/>
  <c r="D279" i="8"/>
  <c r="C279" i="8"/>
  <c r="D278" i="8"/>
  <c r="C278" i="8"/>
  <c r="D277" i="8"/>
  <c r="C277" i="8"/>
  <c r="D276" i="8"/>
  <c r="C276" i="8"/>
  <c r="D275" i="8"/>
  <c r="C275" i="8"/>
  <c r="D274" i="8"/>
  <c r="C274" i="8"/>
  <c r="D273" i="8"/>
  <c r="C273" i="8"/>
  <c r="D272" i="8"/>
  <c r="C272" i="8"/>
  <c r="D271" i="8"/>
  <c r="C271" i="8"/>
  <c r="D270" i="8"/>
  <c r="C270" i="8"/>
  <c r="D269" i="8"/>
  <c r="C269" i="8"/>
  <c r="D268" i="8"/>
  <c r="C268" i="8"/>
  <c r="D267" i="8"/>
  <c r="C267" i="8"/>
  <c r="D266" i="8"/>
  <c r="C266" i="8"/>
  <c r="D265" i="8"/>
  <c r="C265" i="8"/>
  <c r="D264" i="8"/>
  <c r="C264" i="8"/>
  <c r="D263" i="8"/>
  <c r="C263" i="8"/>
  <c r="D262" i="8"/>
  <c r="C262" i="8"/>
  <c r="D261" i="8"/>
  <c r="C261" i="8"/>
  <c r="D260" i="8"/>
  <c r="C260" i="8"/>
  <c r="D259" i="8"/>
  <c r="C259" i="8"/>
  <c r="D258" i="8"/>
  <c r="C258" i="8"/>
  <c r="D257" i="8"/>
  <c r="C257" i="8"/>
  <c r="D256" i="8"/>
  <c r="C256" i="8"/>
  <c r="D255" i="8"/>
  <c r="C255" i="8"/>
  <c r="D254" i="8"/>
  <c r="C254" i="8"/>
  <c r="D253" i="8"/>
  <c r="C253" i="8"/>
  <c r="D252" i="8"/>
  <c r="C252" i="8"/>
  <c r="D251" i="8"/>
  <c r="C251" i="8"/>
  <c r="D250" i="8"/>
  <c r="C250" i="8"/>
  <c r="D249" i="8"/>
  <c r="C249" i="8"/>
  <c r="D248" i="8"/>
  <c r="C248" i="8"/>
  <c r="D247" i="8"/>
  <c r="C247" i="8"/>
  <c r="D246" i="8"/>
  <c r="C246" i="8"/>
  <c r="D245" i="8"/>
  <c r="C245" i="8"/>
  <c r="D244" i="8"/>
  <c r="C244" i="8"/>
  <c r="D243" i="8"/>
  <c r="C243" i="8"/>
  <c r="D242" i="8"/>
  <c r="C242" i="8"/>
  <c r="D241" i="8"/>
  <c r="C241" i="8"/>
  <c r="D240" i="8"/>
  <c r="C240" i="8"/>
  <c r="D239" i="8"/>
  <c r="C239" i="8"/>
  <c r="D238" i="8"/>
  <c r="C238" i="8"/>
  <c r="D237" i="8"/>
  <c r="C237" i="8"/>
  <c r="D236" i="8"/>
  <c r="C236" i="8"/>
  <c r="D235" i="8"/>
  <c r="C235" i="8"/>
  <c r="D234" i="8"/>
  <c r="C234" i="8"/>
  <c r="D233" i="8"/>
  <c r="C233" i="8"/>
  <c r="D232" i="8"/>
  <c r="C232" i="8"/>
  <c r="D231" i="8"/>
  <c r="C231" i="8"/>
  <c r="D230" i="8"/>
  <c r="C230" i="8"/>
  <c r="D229" i="8"/>
  <c r="C229" i="8"/>
  <c r="D228" i="8"/>
  <c r="C228" i="8"/>
  <c r="D227" i="8"/>
  <c r="C227" i="8"/>
  <c r="D226" i="8"/>
  <c r="C226" i="8"/>
  <c r="D225" i="8"/>
  <c r="C225" i="8"/>
  <c r="D224" i="8"/>
  <c r="C224" i="8"/>
  <c r="D223" i="8"/>
  <c r="C223" i="8"/>
  <c r="D222" i="8"/>
  <c r="C222" i="8"/>
  <c r="D221" i="8"/>
  <c r="C221" i="8"/>
  <c r="D220" i="8"/>
  <c r="C220" i="8"/>
  <c r="D219" i="8"/>
  <c r="C219" i="8"/>
  <c r="D218" i="8"/>
  <c r="C218" i="8"/>
  <c r="D217" i="8"/>
  <c r="C217" i="8"/>
  <c r="D216" i="8"/>
  <c r="C216" i="8"/>
  <c r="D215" i="8"/>
  <c r="C215" i="8"/>
  <c r="D214" i="8"/>
  <c r="C214" i="8"/>
  <c r="D213" i="8"/>
  <c r="C213" i="8"/>
  <c r="D212" i="8"/>
  <c r="C212" i="8"/>
  <c r="D211" i="8"/>
  <c r="C211" i="8"/>
  <c r="D210" i="8"/>
  <c r="C210" i="8"/>
  <c r="D209" i="8"/>
  <c r="C209" i="8"/>
  <c r="D208" i="8"/>
  <c r="C208" i="8"/>
  <c r="D207" i="8"/>
  <c r="C207" i="8"/>
  <c r="D206" i="8"/>
  <c r="C206" i="8"/>
  <c r="D205" i="8"/>
  <c r="C205" i="8"/>
  <c r="D204" i="8"/>
  <c r="C204" i="8"/>
  <c r="D203" i="8"/>
  <c r="C203" i="8"/>
  <c r="D202" i="8"/>
  <c r="C202" i="8"/>
  <c r="D201" i="8"/>
  <c r="C201" i="8"/>
  <c r="D200" i="8"/>
  <c r="C200" i="8"/>
  <c r="D199" i="8"/>
  <c r="C199" i="8"/>
  <c r="D198" i="8"/>
  <c r="C198" i="8"/>
  <c r="D197" i="8"/>
  <c r="C197" i="8"/>
  <c r="D196" i="8"/>
  <c r="C196" i="8"/>
  <c r="D195" i="8"/>
  <c r="C195" i="8"/>
  <c r="D194" i="8"/>
  <c r="C194" i="8"/>
  <c r="D193" i="8"/>
  <c r="C193" i="8"/>
  <c r="D192" i="8"/>
  <c r="C192" i="8"/>
  <c r="D191" i="8"/>
  <c r="C191" i="8"/>
  <c r="D190" i="8"/>
  <c r="C190" i="8"/>
  <c r="D189" i="8"/>
  <c r="C189" i="8"/>
  <c r="D188" i="8"/>
  <c r="C188" i="8"/>
  <c r="D187" i="8"/>
  <c r="C187" i="8"/>
  <c r="D186" i="8"/>
  <c r="C186" i="8"/>
  <c r="D185" i="8"/>
  <c r="C185" i="8"/>
  <c r="D184" i="8"/>
  <c r="C184" i="8"/>
  <c r="D183" i="8"/>
  <c r="C183" i="8"/>
  <c r="D182" i="8"/>
  <c r="C182" i="8"/>
  <c r="D181" i="8"/>
  <c r="C181" i="8"/>
  <c r="D180" i="8"/>
  <c r="C180" i="8"/>
  <c r="D179" i="8"/>
  <c r="C179" i="8"/>
  <c r="D178" i="8"/>
  <c r="C178" i="8"/>
  <c r="D177" i="8"/>
  <c r="C177" i="8"/>
  <c r="D176" i="8"/>
  <c r="C176" i="8"/>
  <c r="D175" i="8"/>
  <c r="C175" i="8"/>
  <c r="D174" i="8"/>
  <c r="C174" i="8"/>
  <c r="D173" i="8"/>
  <c r="C173" i="8"/>
  <c r="D172" i="8"/>
  <c r="C172" i="8"/>
  <c r="D171" i="8"/>
  <c r="C171" i="8"/>
  <c r="D170" i="8"/>
  <c r="C170" i="8"/>
  <c r="D169" i="8"/>
  <c r="C169" i="8"/>
  <c r="D168" i="8"/>
  <c r="C168" i="8"/>
  <c r="D167" i="8"/>
  <c r="C167" i="8"/>
  <c r="D166" i="8"/>
  <c r="C166" i="8"/>
  <c r="D165" i="8"/>
  <c r="C165" i="8"/>
  <c r="D164" i="8"/>
  <c r="C164" i="8"/>
  <c r="D163" i="8"/>
  <c r="C163" i="8"/>
  <c r="D162" i="8"/>
  <c r="C162" i="8"/>
  <c r="D161" i="8"/>
  <c r="C161" i="8"/>
  <c r="D160" i="8"/>
  <c r="C160" i="8"/>
  <c r="D159" i="8"/>
  <c r="C159" i="8"/>
  <c r="D158" i="8"/>
  <c r="C158" i="8"/>
  <c r="D157" i="8"/>
  <c r="C157" i="8"/>
  <c r="D156" i="8"/>
  <c r="C156" i="8"/>
  <c r="D155" i="8"/>
  <c r="C155" i="8"/>
  <c r="D154" i="8"/>
  <c r="C154" i="8"/>
  <c r="D153" i="8"/>
  <c r="C153" i="8"/>
  <c r="D152" i="8"/>
  <c r="C152" i="8"/>
  <c r="D151" i="8"/>
  <c r="C151" i="8"/>
  <c r="D150" i="8"/>
  <c r="C150" i="8"/>
  <c r="D149" i="8"/>
  <c r="C149" i="8"/>
  <c r="D148" i="8"/>
  <c r="C148" i="8"/>
  <c r="D147" i="8"/>
  <c r="C147" i="8"/>
  <c r="D146" i="8"/>
  <c r="C146" i="8"/>
  <c r="D145" i="8"/>
  <c r="C145" i="8"/>
  <c r="D144" i="8"/>
  <c r="C144" i="8"/>
  <c r="D143" i="8"/>
  <c r="C143" i="8"/>
  <c r="D142" i="8"/>
  <c r="C142" i="8"/>
  <c r="D141" i="8"/>
  <c r="C141" i="8"/>
  <c r="D140" i="8"/>
  <c r="C140" i="8"/>
  <c r="D139" i="8"/>
  <c r="C139" i="8"/>
  <c r="D138" i="8"/>
  <c r="C138" i="8"/>
  <c r="D137" i="8"/>
  <c r="C137" i="8"/>
  <c r="D136" i="8"/>
  <c r="C136" i="8"/>
  <c r="D135" i="8"/>
  <c r="C135" i="8"/>
  <c r="D134" i="8"/>
  <c r="C134" i="8"/>
  <c r="D133" i="8"/>
  <c r="C133" i="8"/>
  <c r="D132" i="8"/>
  <c r="C132" i="8"/>
  <c r="D131" i="8"/>
  <c r="C131" i="8"/>
  <c r="D130" i="8"/>
  <c r="C130" i="8"/>
  <c r="D129" i="8"/>
  <c r="C129" i="8"/>
  <c r="D128" i="8"/>
  <c r="C128" i="8"/>
  <c r="D127" i="8"/>
  <c r="C127" i="8"/>
  <c r="D126" i="8"/>
  <c r="C126" i="8"/>
  <c r="D125" i="8"/>
  <c r="C125" i="8"/>
  <c r="D124" i="8"/>
  <c r="C124" i="8"/>
  <c r="D123" i="8"/>
  <c r="C123" i="8"/>
  <c r="D122" i="8"/>
  <c r="C122" i="8"/>
  <c r="D121" i="8"/>
  <c r="C121" i="8"/>
  <c r="D120" i="8"/>
  <c r="C120" i="8"/>
  <c r="D119" i="8"/>
  <c r="C119" i="8"/>
  <c r="D118" i="8"/>
  <c r="C118" i="8"/>
  <c r="D117" i="8"/>
  <c r="C117" i="8"/>
  <c r="D116" i="8"/>
  <c r="C116" i="8"/>
  <c r="D115" i="8"/>
  <c r="C115" i="8"/>
  <c r="D114" i="8"/>
  <c r="C114" i="8"/>
  <c r="D113" i="8"/>
  <c r="C113" i="8"/>
  <c r="D112" i="8"/>
  <c r="C112" i="8"/>
  <c r="D111" i="8"/>
  <c r="C111" i="8"/>
  <c r="D110" i="8"/>
  <c r="C110" i="8"/>
  <c r="D109" i="8"/>
  <c r="C109" i="8"/>
  <c r="D108" i="8"/>
  <c r="C108" i="8"/>
  <c r="D107" i="8"/>
  <c r="C107" i="8"/>
  <c r="D106" i="8"/>
  <c r="C106" i="8"/>
  <c r="D105" i="8"/>
  <c r="C105" i="8"/>
  <c r="D104" i="8"/>
  <c r="C104" i="8"/>
  <c r="D103" i="8"/>
  <c r="C103" i="8"/>
  <c r="D102" i="8"/>
  <c r="C102" i="8"/>
  <c r="D101" i="8"/>
  <c r="C101" i="8"/>
  <c r="D100" i="8"/>
  <c r="C100" i="8"/>
  <c r="D99" i="8"/>
  <c r="C99" i="8"/>
  <c r="D98" i="8"/>
  <c r="C98" i="8"/>
  <c r="D97" i="8"/>
  <c r="C97" i="8"/>
  <c r="D96" i="8"/>
  <c r="C96" i="8"/>
  <c r="D95" i="8"/>
  <c r="C95" i="8"/>
  <c r="D94" i="8"/>
  <c r="C94" i="8"/>
  <c r="D93" i="8"/>
  <c r="C93" i="8"/>
  <c r="D92" i="8"/>
  <c r="C92" i="8"/>
  <c r="D91" i="8"/>
  <c r="C91" i="8"/>
  <c r="D90" i="8"/>
  <c r="C90" i="8"/>
  <c r="D89" i="8"/>
  <c r="C89" i="8"/>
  <c r="D88" i="8"/>
  <c r="C88" i="8"/>
  <c r="D87" i="8"/>
  <c r="C87" i="8"/>
  <c r="D86" i="8"/>
  <c r="C86" i="8"/>
  <c r="D85" i="8"/>
  <c r="C85" i="8"/>
  <c r="D84" i="8"/>
  <c r="C84" i="8"/>
  <c r="D83" i="8"/>
  <c r="C83" i="8"/>
  <c r="D82" i="8"/>
  <c r="C82" i="8"/>
  <c r="D81" i="8"/>
  <c r="C81" i="8"/>
  <c r="D80" i="8"/>
  <c r="C80" i="8"/>
  <c r="D79" i="8"/>
  <c r="C79" i="8"/>
  <c r="D78" i="8"/>
  <c r="C78" i="8"/>
  <c r="D77" i="8"/>
  <c r="C77" i="8"/>
  <c r="D76" i="8"/>
  <c r="C76" i="8"/>
  <c r="D75" i="8"/>
  <c r="C75" i="8"/>
  <c r="D74" i="8"/>
  <c r="C74" i="8"/>
  <c r="D73" i="8"/>
  <c r="C73" i="8"/>
  <c r="D72" i="8"/>
  <c r="C72" i="8"/>
  <c r="D71" i="8"/>
  <c r="C71" i="8"/>
  <c r="D70" i="8"/>
  <c r="C70" i="8"/>
  <c r="D69" i="8"/>
  <c r="C69" i="8"/>
  <c r="D68" i="8"/>
  <c r="C68" i="8"/>
  <c r="D67" i="8"/>
  <c r="C67" i="8"/>
  <c r="D66" i="8"/>
  <c r="C66" i="8"/>
  <c r="D65" i="8"/>
  <c r="C65" i="8"/>
  <c r="D64" i="8"/>
  <c r="C64" i="8"/>
  <c r="D63" i="8"/>
  <c r="C63" i="8"/>
  <c r="D62" i="8"/>
  <c r="C62" i="8"/>
  <c r="D61" i="8"/>
  <c r="C61" i="8"/>
  <c r="D60" i="8"/>
  <c r="C60" i="8"/>
  <c r="D59" i="8"/>
  <c r="C59" i="8"/>
  <c r="D58" i="8"/>
  <c r="C58" i="8"/>
  <c r="D57" i="8"/>
  <c r="C57" i="8"/>
  <c r="D56" i="8"/>
  <c r="C56" i="8"/>
  <c r="D55" i="8"/>
  <c r="C55" i="8"/>
  <c r="D54" i="8"/>
  <c r="C54" i="8"/>
  <c r="D53" i="8"/>
  <c r="C53" i="8"/>
  <c r="D52" i="8"/>
  <c r="C52" i="8"/>
  <c r="D51" i="8"/>
  <c r="C51" i="8"/>
  <c r="D50" i="8"/>
  <c r="C50" i="8"/>
  <c r="D49" i="8"/>
  <c r="C49" i="8"/>
  <c r="D48" i="8"/>
  <c r="C48" i="8"/>
  <c r="D47" i="8"/>
  <c r="C47" i="8"/>
  <c r="D46" i="8"/>
  <c r="C46" i="8"/>
  <c r="D45" i="8"/>
  <c r="C45" i="8"/>
  <c r="D44" i="8"/>
  <c r="C44" i="8"/>
  <c r="D43" i="8"/>
  <c r="C43" i="8"/>
  <c r="D42" i="8"/>
  <c r="C42" i="8"/>
  <c r="D41" i="8"/>
  <c r="C41" i="8"/>
  <c r="D40" i="8"/>
  <c r="C40" i="8"/>
  <c r="D39" i="8"/>
  <c r="C39" i="8"/>
  <c r="D38" i="8"/>
  <c r="C38" i="8"/>
  <c r="D37" i="8"/>
  <c r="C37" i="8"/>
  <c r="D36" i="8"/>
  <c r="C36" i="8"/>
  <c r="D35" i="8"/>
  <c r="C35" i="8"/>
  <c r="D34" i="8"/>
  <c r="C34" i="8"/>
  <c r="D33" i="8"/>
  <c r="C33" i="8"/>
  <c r="D32" i="8"/>
  <c r="C32" i="8"/>
  <c r="D31" i="8"/>
  <c r="C31" i="8"/>
  <c r="D30" i="8"/>
  <c r="C30" i="8"/>
  <c r="D29" i="8"/>
  <c r="C29" i="8"/>
  <c r="D28" i="8"/>
  <c r="C28" i="8"/>
  <c r="D27" i="8"/>
  <c r="C27" i="8"/>
  <c r="D26" i="8"/>
  <c r="C26" i="8"/>
  <c r="D25" i="8"/>
  <c r="C25" i="8"/>
  <c r="D24" i="8"/>
  <c r="C24" i="8"/>
  <c r="D23" i="8"/>
  <c r="C23" i="8"/>
  <c r="D22" i="8"/>
  <c r="C22" i="8"/>
  <c r="D21" i="8"/>
  <c r="C21" i="8"/>
  <c r="D20" i="8"/>
  <c r="C20" i="8"/>
  <c r="D19" i="8"/>
  <c r="C19" i="8"/>
  <c r="D18" i="8"/>
  <c r="C18" i="8"/>
  <c r="D17" i="8"/>
  <c r="C17" i="8"/>
  <c r="D16" i="8"/>
  <c r="C16" i="8"/>
  <c r="D15" i="8"/>
  <c r="C15" i="8"/>
  <c r="D14" i="8"/>
  <c r="C14" i="8"/>
  <c r="P6" i="8"/>
  <c r="O5" i="8"/>
  <c r="O8" i="8" s="1"/>
  <c r="G12" i="9" l="1"/>
  <c r="S27" i="9"/>
  <c r="K21" i="10"/>
  <c r="I25" i="10"/>
  <c r="B71" i="10"/>
  <c r="G30" i="10"/>
  <c r="K15" i="10"/>
  <c r="I15" i="10"/>
  <c r="I18" i="10"/>
  <c r="K18" i="10"/>
  <c r="I22" i="10"/>
  <c r="K22" i="10"/>
  <c r="H30" i="10"/>
  <c r="N7" i="10" s="1"/>
  <c r="J30" i="10"/>
  <c r="N8" i="10" s="1"/>
  <c r="N9" i="10" s="1"/>
  <c r="I24" i="10"/>
  <c r="K24" i="10"/>
  <c r="I26" i="10"/>
  <c r="K26" i="10"/>
  <c r="K27" i="10"/>
  <c r="I27" i="10"/>
  <c r="I23" i="10"/>
  <c r="K23" i="10"/>
  <c r="C66" i="9"/>
  <c r="I43" i="9"/>
  <c r="E7" i="9"/>
  <c r="F7" i="9" s="1"/>
  <c r="E5" i="9"/>
  <c r="F5" i="9" s="1"/>
  <c r="E10" i="9"/>
  <c r="F10" i="9" s="1"/>
  <c r="E6" i="9"/>
  <c r="F6" i="9" s="1"/>
  <c r="E9" i="9"/>
  <c r="F9" i="9" s="1"/>
  <c r="E15" i="9"/>
  <c r="F15" i="9" s="1"/>
  <c r="E12" i="9"/>
  <c r="F12" i="9" s="1"/>
  <c r="E8" i="9"/>
  <c r="F8" i="9" s="1"/>
  <c r="E13" i="9"/>
  <c r="F13" i="9" s="1"/>
  <c r="E4" i="9"/>
  <c r="F4" i="9" s="1"/>
  <c r="E16" i="9"/>
  <c r="F16" i="9" s="1"/>
  <c r="E14" i="9"/>
  <c r="F14" i="9" s="1"/>
  <c r="E11" i="9"/>
  <c r="F11" i="9" s="1"/>
  <c r="B68" i="9"/>
  <c r="C67" i="9"/>
  <c r="D67" i="9"/>
  <c r="P12" i="8"/>
  <c r="P11" i="8"/>
  <c r="Q6" i="8"/>
  <c r="O7" i="8"/>
  <c r="O13" i="8"/>
  <c r="P5" i="8"/>
  <c r="P7" i="8" s="1"/>
  <c r="D504" i="7"/>
  <c r="C504" i="7"/>
  <c r="D503" i="7"/>
  <c r="C503" i="7"/>
  <c r="D502" i="7"/>
  <c r="C502" i="7"/>
  <c r="D501" i="7"/>
  <c r="C501" i="7"/>
  <c r="D500" i="7"/>
  <c r="C500" i="7"/>
  <c r="D499" i="7"/>
  <c r="C499" i="7"/>
  <c r="D498" i="7"/>
  <c r="C498" i="7"/>
  <c r="D497" i="7"/>
  <c r="C497" i="7"/>
  <c r="D496" i="7"/>
  <c r="C496" i="7"/>
  <c r="D495" i="7"/>
  <c r="C495" i="7"/>
  <c r="D494" i="7"/>
  <c r="C494" i="7"/>
  <c r="D493" i="7"/>
  <c r="C493" i="7"/>
  <c r="D492" i="7"/>
  <c r="C492" i="7"/>
  <c r="D491" i="7"/>
  <c r="C491" i="7"/>
  <c r="D490" i="7"/>
  <c r="C490" i="7"/>
  <c r="D489" i="7"/>
  <c r="C489" i="7"/>
  <c r="D488" i="7"/>
  <c r="C488" i="7"/>
  <c r="D487" i="7"/>
  <c r="C487" i="7"/>
  <c r="D486" i="7"/>
  <c r="C486" i="7"/>
  <c r="D485" i="7"/>
  <c r="C485" i="7"/>
  <c r="D484" i="7"/>
  <c r="C484" i="7"/>
  <c r="D483" i="7"/>
  <c r="C483" i="7"/>
  <c r="D482" i="7"/>
  <c r="C482" i="7"/>
  <c r="D481" i="7"/>
  <c r="C481" i="7"/>
  <c r="D480" i="7"/>
  <c r="C480" i="7"/>
  <c r="D479" i="7"/>
  <c r="C479" i="7"/>
  <c r="D478" i="7"/>
  <c r="C478" i="7"/>
  <c r="D477" i="7"/>
  <c r="C477" i="7"/>
  <c r="D476" i="7"/>
  <c r="C476" i="7"/>
  <c r="D475" i="7"/>
  <c r="C475" i="7"/>
  <c r="D474" i="7"/>
  <c r="C474" i="7"/>
  <c r="D473" i="7"/>
  <c r="C473" i="7"/>
  <c r="D472" i="7"/>
  <c r="C472" i="7"/>
  <c r="D471" i="7"/>
  <c r="C471" i="7"/>
  <c r="D470" i="7"/>
  <c r="C470" i="7"/>
  <c r="D469" i="7"/>
  <c r="C469" i="7"/>
  <c r="D468" i="7"/>
  <c r="C468" i="7"/>
  <c r="D467" i="7"/>
  <c r="C467" i="7"/>
  <c r="D466" i="7"/>
  <c r="C466" i="7"/>
  <c r="D465" i="7"/>
  <c r="C465" i="7"/>
  <c r="D464" i="7"/>
  <c r="C464" i="7"/>
  <c r="D463" i="7"/>
  <c r="C463" i="7"/>
  <c r="D462" i="7"/>
  <c r="C462" i="7"/>
  <c r="D461" i="7"/>
  <c r="C461" i="7"/>
  <c r="D460" i="7"/>
  <c r="C460" i="7"/>
  <c r="D459" i="7"/>
  <c r="C459" i="7"/>
  <c r="D458" i="7"/>
  <c r="C458" i="7"/>
  <c r="D457" i="7"/>
  <c r="C457" i="7"/>
  <c r="D456" i="7"/>
  <c r="C456" i="7"/>
  <c r="D455" i="7"/>
  <c r="C455" i="7"/>
  <c r="D454" i="7"/>
  <c r="C454" i="7"/>
  <c r="D453" i="7"/>
  <c r="C453" i="7"/>
  <c r="D452" i="7"/>
  <c r="C452" i="7"/>
  <c r="D451" i="7"/>
  <c r="C451" i="7"/>
  <c r="D450" i="7"/>
  <c r="C450" i="7"/>
  <c r="D449" i="7"/>
  <c r="C449" i="7"/>
  <c r="D448" i="7"/>
  <c r="C448" i="7"/>
  <c r="D447" i="7"/>
  <c r="C447" i="7"/>
  <c r="D446" i="7"/>
  <c r="C446" i="7"/>
  <c r="D445" i="7"/>
  <c r="C445" i="7"/>
  <c r="D444" i="7"/>
  <c r="C444" i="7"/>
  <c r="D443" i="7"/>
  <c r="C443" i="7"/>
  <c r="D442" i="7"/>
  <c r="C442" i="7"/>
  <c r="D441" i="7"/>
  <c r="C441" i="7"/>
  <c r="D440" i="7"/>
  <c r="C440" i="7"/>
  <c r="D439" i="7"/>
  <c r="C439" i="7"/>
  <c r="D438" i="7"/>
  <c r="C438" i="7"/>
  <c r="D437" i="7"/>
  <c r="C437" i="7"/>
  <c r="D436" i="7"/>
  <c r="C436" i="7"/>
  <c r="D435" i="7"/>
  <c r="C435" i="7"/>
  <c r="D434" i="7"/>
  <c r="C434" i="7"/>
  <c r="D433" i="7"/>
  <c r="C433" i="7"/>
  <c r="D432" i="7"/>
  <c r="C432" i="7"/>
  <c r="D431" i="7"/>
  <c r="C431" i="7"/>
  <c r="D430" i="7"/>
  <c r="C430" i="7"/>
  <c r="D429" i="7"/>
  <c r="C429" i="7"/>
  <c r="D428" i="7"/>
  <c r="C428" i="7"/>
  <c r="D427" i="7"/>
  <c r="C427" i="7"/>
  <c r="D426" i="7"/>
  <c r="C426" i="7"/>
  <c r="D425" i="7"/>
  <c r="C425" i="7"/>
  <c r="D424" i="7"/>
  <c r="C424" i="7"/>
  <c r="D423" i="7"/>
  <c r="C423" i="7"/>
  <c r="D422" i="7"/>
  <c r="C422" i="7"/>
  <c r="D421" i="7"/>
  <c r="C421" i="7"/>
  <c r="D420" i="7"/>
  <c r="C420" i="7"/>
  <c r="D419" i="7"/>
  <c r="C419" i="7"/>
  <c r="D418" i="7"/>
  <c r="C418" i="7"/>
  <c r="D417" i="7"/>
  <c r="C417" i="7"/>
  <c r="D416" i="7"/>
  <c r="C416" i="7"/>
  <c r="D415" i="7"/>
  <c r="C415" i="7"/>
  <c r="D414" i="7"/>
  <c r="C414" i="7"/>
  <c r="D413" i="7"/>
  <c r="C413" i="7"/>
  <c r="D412" i="7"/>
  <c r="C412" i="7"/>
  <c r="D411" i="7"/>
  <c r="C411" i="7"/>
  <c r="D410" i="7"/>
  <c r="C410" i="7"/>
  <c r="D409" i="7"/>
  <c r="C409" i="7"/>
  <c r="D408" i="7"/>
  <c r="C408" i="7"/>
  <c r="D407" i="7"/>
  <c r="C407" i="7"/>
  <c r="D406" i="7"/>
  <c r="C406" i="7"/>
  <c r="D405" i="7"/>
  <c r="C405" i="7"/>
  <c r="D404" i="7"/>
  <c r="C404" i="7"/>
  <c r="D403" i="7"/>
  <c r="C403" i="7"/>
  <c r="D402" i="7"/>
  <c r="C402" i="7"/>
  <c r="D401" i="7"/>
  <c r="C401" i="7"/>
  <c r="D400" i="7"/>
  <c r="C400" i="7"/>
  <c r="D399" i="7"/>
  <c r="C399" i="7"/>
  <c r="D398" i="7"/>
  <c r="C398" i="7"/>
  <c r="D397" i="7"/>
  <c r="C397" i="7"/>
  <c r="D396" i="7"/>
  <c r="C396" i="7"/>
  <c r="D395" i="7"/>
  <c r="C395" i="7"/>
  <c r="D394" i="7"/>
  <c r="C394" i="7"/>
  <c r="D393" i="7"/>
  <c r="C393" i="7"/>
  <c r="D392" i="7"/>
  <c r="C392" i="7"/>
  <c r="D391" i="7"/>
  <c r="C391" i="7"/>
  <c r="D390" i="7"/>
  <c r="C390" i="7"/>
  <c r="D389" i="7"/>
  <c r="C389" i="7"/>
  <c r="D388" i="7"/>
  <c r="C388" i="7"/>
  <c r="D387" i="7"/>
  <c r="C387" i="7"/>
  <c r="D386" i="7"/>
  <c r="C386" i="7"/>
  <c r="D385" i="7"/>
  <c r="C385" i="7"/>
  <c r="D384" i="7"/>
  <c r="C384" i="7"/>
  <c r="D383" i="7"/>
  <c r="C383" i="7"/>
  <c r="D382" i="7"/>
  <c r="C382" i="7"/>
  <c r="D381" i="7"/>
  <c r="C381" i="7"/>
  <c r="D380" i="7"/>
  <c r="C380" i="7"/>
  <c r="D379" i="7"/>
  <c r="C379" i="7"/>
  <c r="D378" i="7"/>
  <c r="C378" i="7"/>
  <c r="D377" i="7"/>
  <c r="C377" i="7"/>
  <c r="D376" i="7"/>
  <c r="C376" i="7"/>
  <c r="D375" i="7"/>
  <c r="C375" i="7"/>
  <c r="D374" i="7"/>
  <c r="C374" i="7"/>
  <c r="D373" i="7"/>
  <c r="C373" i="7"/>
  <c r="D372" i="7"/>
  <c r="C372" i="7"/>
  <c r="D371" i="7"/>
  <c r="C371" i="7"/>
  <c r="D370" i="7"/>
  <c r="C370" i="7"/>
  <c r="D369" i="7"/>
  <c r="C369" i="7"/>
  <c r="D368" i="7"/>
  <c r="C368" i="7"/>
  <c r="D367" i="7"/>
  <c r="C367" i="7"/>
  <c r="D366" i="7"/>
  <c r="C366" i="7"/>
  <c r="D365" i="7"/>
  <c r="C365" i="7"/>
  <c r="D364" i="7"/>
  <c r="C364" i="7"/>
  <c r="D363" i="7"/>
  <c r="C363" i="7"/>
  <c r="D362" i="7"/>
  <c r="C362" i="7"/>
  <c r="D361" i="7"/>
  <c r="C361" i="7"/>
  <c r="D360" i="7"/>
  <c r="C360" i="7"/>
  <c r="D359" i="7"/>
  <c r="C359" i="7"/>
  <c r="D358" i="7"/>
  <c r="C358" i="7"/>
  <c r="D357" i="7"/>
  <c r="C357" i="7"/>
  <c r="D356" i="7"/>
  <c r="C356" i="7"/>
  <c r="D355" i="7"/>
  <c r="C355" i="7"/>
  <c r="D354" i="7"/>
  <c r="C354" i="7"/>
  <c r="D353" i="7"/>
  <c r="C353" i="7"/>
  <c r="D352" i="7"/>
  <c r="C352" i="7"/>
  <c r="D351" i="7"/>
  <c r="C351" i="7"/>
  <c r="D350" i="7"/>
  <c r="C350" i="7"/>
  <c r="D349" i="7"/>
  <c r="C349" i="7"/>
  <c r="D348" i="7"/>
  <c r="C348" i="7"/>
  <c r="D347" i="7"/>
  <c r="C347" i="7"/>
  <c r="D346" i="7"/>
  <c r="C346" i="7"/>
  <c r="D345" i="7"/>
  <c r="C345" i="7"/>
  <c r="D344" i="7"/>
  <c r="C344" i="7"/>
  <c r="D343" i="7"/>
  <c r="C343" i="7"/>
  <c r="D342" i="7"/>
  <c r="C342" i="7"/>
  <c r="D341" i="7"/>
  <c r="C341" i="7"/>
  <c r="D340" i="7"/>
  <c r="C340" i="7"/>
  <c r="D339" i="7"/>
  <c r="C339" i="7"/>
  <c r="D338" i="7"/>
  <c r="C338" i="7"/>
  <c r="D337" i="7"/>
  <c r="C337" i="7"/>
  <c r="D336" i="7"/>
  <c r="C336" i="7"/>
  <c r="D335" i="7"/>
  <c r="C335" i="7"/>
  <c r="D334" i="7"/>
  <c r="C334" i="7"/>
  <c r="D333" i="7"/>
  <c r="C333" i="7"/>
  <c r="D332" i="7"/>
  <c r="C332" i="7"/>
  <c r="D331" i="7"/>
  <c r="C331" i="7"/>
  <c r="D330" i="7"/>
  <c r="C330" i="7"/>
  <c r="D329" i="7"/>
  <c r="C329" i="7"/>
  <c r="D328" i="7"/>
  <c r="C328" i="7"/>
  <c r="D327" i="7"/>
  <c r="C327" i="7"/>
  <c r="D326" i="7"/>
  <c r="C326" i="7"/>
  <c r="D325" i="7"/>
  <c r="C325" i="7"/>
  <c r="D324" i="7"/>
  <c r="C324" i="7"/>
  <c r="D323" i="7"/>
  <c r="C323" i="7"/>
  <c r="D322" i="7"/>
  <c r="C322" i="7"/>
  <c r="D321" i="7"/>
  <c r="C321" i="7"/>
  <c r="D320" i="7"/>
  <c r="C320" i="7"/>
  <c r="D319" i="7"/>
  <c r="C319" i="7"/>
  <c r="D318" i="7"/>
  <c r="C318" i="7"/>
  <c r="D317" i="7"/>
  <c r="C317" i="7"/>
  <c r="D316" i="7"/>
  <c r="C316" i="7"/>
  <c r="D315" i="7"/>
  <c r="C315" i="7"/>
  <c r="D314" i="7"/>
  <c r="C314" i="7"/>
  <c r="D313" i="7"/>
  <c r="C313" i="7"/>
  <c r="D312" i="7"/>
  <c r="C312" i="7"/>
  <c r="D311" i="7"/>
  <c r="C311" i="7"/>
  <c r="D310" i="7"/>
  <c r="C310" i="7"/>
  <c r="D309" i="7"/>
  <c r="C309" i="7"/>
  <c r="D308" i="7"/>
  <c r="C308" i="7"/>
  <c r="D307" i="7"/>
  <c r="C307" i="7"/>
  <c r="D306" i="7"/>
  <c r="C306" i="7"/>
  <c r="D305" i="7"/>
  <c r="C305" i="7"/>
  <c r="D304" i="7"/>
  <c r="C304" i="7"/>
  <c r="D303" i="7"/>
  <c r="C303" i="7"/>
  <c r="D302" i="7"/>
  <c r="C302" i="7"/>
  <c r="D301" i="7"/>
  <c r="C301" i="7"/>
  <c r="D300" i="7"/>
  <c r="C300" i="7"/>
  <c r="D299" i="7"/>
  <c r="C299" i="7"/>
  <c r="D298" i="7"/>
  <c r="C298" i="7"/>
  <c r="D297" i="7"/>
  <c r="C297" i="7"/>
  <c r="D296" i="7"/>
  <c r="C296" i="7"/>
  <c r="D295" i="7"/>
  <c r="C295" i="7"/>
  <c r="D294" i="7"/>
  <c r="C294" i="7"/>
  <c r="D293" i="7"/>
  <c r="C293" i="7"/>
  <c r="D292" i="7"/>
  <c r="C292" i="7"/>
  <c r="D291" i="7"/>
  <c r="C291" i="7"/>
  <c r="D290" i="7"/>
  <c r="C290" i="7"/>
  <c r="D289" i="7"/>
  <c r="C289" i="7"/>
  <c r="D288" i="7"/>
  <c r="C288" i="7"/>
  <c r="D287" i="7"/>
  <c r="C287" i="7"/>
  <c r="D286" i="7"/>
  <c r="C286" i="7"/>
  <c r="D285" i="7"/>
  <c r="C285" i="7"/>
  <c r="D284" i="7"/>
  <c r="C284" i="7"/>
  <c r="D283" i="7"/>
  <c r="C283" i="7"/>
  <c r="D282" i="7"/>
  <c r="C282" i="7"/>
  <c r="D281" i="7"/>
  <c r="C281" i="7"/>
  <c r="D280" i="7"/>
  <c r="C280" i="7"/>
  <c r="D279" i="7"/>
  <c r="C279" i="7"/>
  <c r="D278" i="7"/>
  <c r="C278" i="7"/>
  <c r="D277" i="7"/>
  <c r="C277" i="7"/>
  <c r="D276" i="7"/>
  <c r="C276" i="7"/>
  <c r="D275" i="7"/>
  <c r="C275" i="7"/>
  <c r="D274" i="7"/>
  <c r="C274" i="7"/>
  <c r="D273" i="7"/>
  <c r="C273" i="7"/>
  <c r="D272" i="7"/>
  <c r="C272" i="7"/>
  <c r="D271" i="7"/>
  <c r="C271" i="7"/>
  <c r="D270" i="7"/>
  <c r="C270" i="7"/>
  <c r="D269" i="7"/>
  <c r="C269" i="7"/>
  <c r="D268" i="7"/>
  <c r="C268" i="7"/>
  <c r="D267" i="7"/>
  <c r="C267" i="7"/>
  <c r="D266" i="7"/>
  <c r="C266" i="7"/>
  <c r="D265" i="7"/>
  <c r="C265" i="7"/>
  <c r="D264" i="7"/>
  <c r="C264" i="7"/>
  <c r="D263" i="7"/>
  <c r="C263" i="7"/>
  <c r="D262" i="7"/>
  <c r="C262" i="7"/>
  <c r="D261" i="7"/>
  <c r="C261" i="7"/>
  <c r="D260" i="7"/>
  <c r="C260" i="7"/>
  <c r="D259" i="7"/>
  <c r="C259" i="7"/>
  <c r="D258" i="7"/>
  <c r="C258" i="7"/>
  <c r="D257" i="7"/>
  <c r="C257" i="7"/>
  <c r="D256" i="7"/>
  <c r="C256" i="7"/>
  <c r="D255" i="7"/>
  <c r="C255" i="7"/>
  <c r="D254" i="7"/>
  <c r="C254" i="7"/>
  <c r="D253" i="7"/>
  <c r="C253" i="7"/>
  <c r="D252" i="7"/>
  <c r="C252" i="7"/>
  <c r="D251" i="7"/>
  <c r="C251" i="7"/>
  <c r="D250" i="7"/>
  <c r="C250" i="7"/>
  <c r="D249" i="7"/>
  <c r="C249" i="7"/>
  <c r="D248" i="7"/>
  <c r="C248" i="7"/>
  <c r="D247" i="7"/>
  <c r="C247" i="7"/>
  <c r="D246" i="7"/>
  <c r="C246" i="7"/>
  <c r="D245" i="7"/>
  <c r="C245" i="7"/>
  <c r="D244" i="7"/>
  <c r="C244" i="7"/>
  <c r="D243" i="7"/>
  <c r="C243" i="7"/>
  <c r="D242" i="7"/>
  <c r="C242" i="7"/>
  <c r="D241" i="7"/>
  <c r="C241" i="7"/>
  <c r="D240" i="7"/>
  <c r="C240" i="7"/>
  <c r="D239" i="7"/>
  <c r="C239" i="7"/>
  <c r="D238" i="7"/>
  <c r="C238" i="7"/>
  <c r="D237" i="7"/>
  <c r="C237" i="7"/>
  <c r="D236" i="7"/>
  <c r="C236" i="7"/>
  <c r="D235" i="7"/>
  <c r="C235" i="7"/>
  <c r="D234" i="7"/>
  <c r="C234" i="7"/>
  <c r="D233" i="7"/>
  <c r="C233" i="7"/>
  <c r="D232" i="7"/>
  <c r="C232" i="7"/>
  <c r="D231" i="7"/>
  <c r="C231" i="7"/>
  <c r="D230" i="7"/>
  <c r="C230" i="7"/>
  <c r="D229" i="7"/>
  <c r="C229" i="7"/>
  <c r="D228" i="7"/>
  <c r="C228" i="7"/>
  <c r="D227" i="7"/>
  <c r="C227" i="7"/>
  <c r="D226" i="7"/>
  <c r="C226" i="7"/>
  <c r="D225" i="7"/>
  <c r="C225" i="7"/>
  <c r="D224" i="7"/>
  <c r="C224" i="7"/>
  <c r="D223" i="7"/>
  <c r="C223" i="7"/>
  <c r="D222" i="7"/>
  <c r="C222" i="7"/>
  <c r="D221" i="7"/>
  <c r="C221" i="7"/>
  <c r="D220" i="7"/>
  <c r="C220" i="7"/>
  <c r="D219" i="7"/>
  <c r="C219" i="7"/>
  <c r="D218" i="7"/>
  <c r="C218" i="7"/>
  <c r="D217" i="7"/>
  <c r="C217" i="7"/>
  <c r="D216" i="7"/>
  <c r="C216" i="7"/>
  <c r="D215" i="7"/>
  <c r="C215" i="7"/>
  <c r="D214" i="7"/>
  <c r="C214" i="7"/>
  <c r="D213" i="7"/>
  <c r="C213" i="7"/>
  <c r="D212" i="7"/>
  <c r="C212" i="7"/>
  <c r="D211" i="7"/>
  <c r="C211" i="7"/>
  <c r="D210" i="7"/>
  <c r="C210" i="7"/>
  <c r="D209" i="7"/>
  <c r="C209" i="7"/>
  <c r="D208" i="7"/>
  <c r="C208" i="7"/>
  <c r="D207" i="7"/>
  <c r="C207" i="7"/>
  <c r="D206" i="7"/>
  <c r="C206" i="7"/>
  <c r="D205" i="7"/>
  <c r="C205" i="7"/>
  <c r="D204" i="7"/>
  <c r="C204" i="7"/>
  <c r="D203" i="7"/>
  <c r="C203" i="7"/>
  <c r="D202" i="7"/>
  <c r="C202" i="7"/>
  <c r="D201" i="7"/>
  <c r="C201" i="7"/>
  <c r="D200" i="7"/>
  <c r="C200" i="7"/>
  <c r="D199" i="7"/>
  <c r="C199" i="7"/>
  <c r="D198" i="7"/>
  <c r="C198" i="7"/>
  <c r="D197" i="7"/>
  <c r="C197" i="7"/>
  <c r="D196" i="7"/>
  <c r="C196" i="7"/>
  <c r="D195" i="7"/>
  <c r="C195" i="7"/>
  <c r="D194" i="7"/>
  <c r="C194" i="7"/>
  <c r="D193" i="7"/>
  <c r="C193" i="7"/>
  <c r="D192" i="7"/>
  <c r="C192" i="7"/>
  <c r="D191" i="7"/>
  <c r="C191" i="7"/>
  <c r="D190" i="7"/>
  <c r="C190" i="7"/>
  <c r="D189" i="7"/>
  <c r="C189" i="7"/>
  <c r="D188" i="7"/>
  <c r="C188" i="7"/>
  <c r="D187" i="7"/>
  <c r="C187" i="7"/>
  <c r="D186" i="7"/>
  <c r="C186" i="7"/>
  <c r="D185" i="7"/>
  <c r="C185" i="7"/>
  <c r="D184" i="7"/>
  <c r="C184" i="7"/>
  <c r="D183" i="7"/>
  <c r="C183" i="7"/>
  <c r="D182" i="7"/>
  <c r="C182" i="7"/>
  <c r="D181" i="7"/>
  <c r="C181" i="7"/>
  <c r="D180" i="7"/>
  <c r="C180" i="7"/>
  <c r="D179" i="7"/>
  <c r="C179" i="7"/>
  <c r="D178" i="7"/>
  <c r="C178" i="7"/>
  <c r="D177" i="7"/>
  <c r="C177" i="7"/>
  <c r="D176" i="7"/>
  <c r="C176" i="7"/>
  <c r="D175" i="7"/>
  <c r="C175" i="7"/>
  <c r="D174" i="7"/>
  <c r="C174" i="7"/>
  <c r="D173" i="7"/>
  <c r="C173" i="7"/>
  <c r="D172" i="7"/>
  <c r="C172" i="7"/>
  <c r="D171" i="7"/>
  <c r="C171" i="7"/>
  <c r="D170" i="7"/>
  <c r="C170" i="7"/>
  <c r="D169" i="7"/>
  <c r="C169" i="7"/>
  <c r="D168" i="7"/>
  <c r="C168" i="7"/>
  <c r="D167" i="7"/>
  <c r="C167" i="7"/>
  <c r="D166" i="7"/>
  <c r="C166" i="7"/>
  <c r="D165" i="7"/>
  <c r="C165" i="7"/>
  <c r="D164" i="7"/>
  <c r="C164" i="7"/>
  <c r="D163" i="7"/>
  <c r="C163" i="7"/>
  <c r="D162" i="7"/>
  <c r="C162" i="7"/>
  <c r="D161" i="7"/>
  <c r="C161" i="7"/>
  <c r="D160" i="7"/>
  <c r="C160" i="7"/>
  <c r="D159" i="7"/>
  <c r="C159" i="7"/>
  <c r="D158" i="7"/>
  <c r="C158" i="7"/>
  <c r="D157" i="7"/>
  <c r="C157" i="7"/>
  <c r="D156" i="7"/>
  <c r="C156" i="7"/>
  <c r="D155" i="7"/>
  <c r="C155" i="7"/>
  <c r="D154" i="7"/>
  <c r="C154" i="7"/>
  <c r="D153" i="7"/>
  <c r="C153" i="7"/>
  <c r="D152" i="7"/>
  <c r="C152" i="7"/>
  <c r="D151" i="7"/>
  <c r="C151" i="7"/>
  <c r="D150" i="7"/>
  <c r="C150" i="7"/>
  <c r="D149" i="7"/>
  <c r="C149" i="7"/>
  <c r="D148" i="7"/>
  <c r="C148" i="7"/>
  <c r="D147" i="7"/>
  <c r="C147" i="7"/>
  <c r="D146" i="7"/>
  <c r="C146" i="7"/>
  <c r="D145" i="7"/>
  <c r="C145" i="7"/>
  <c r="D144" i="7"/>
  <c r="C144" i="7"/>
  <c r="D143" i="7"/>
  <c r="C143" i="7"/>
  <c r="D142" i="7"/>
  <c r="C142" i="7"/>
  <c r="D141" i="7"/>
  <c r="C141" i="7"/>
  <c r="D140" i="7"/>
  <c r="C140" i="7"/>
  <c r="D139" i="7"/>
  <c r="C139" i="7"/>
  <c r="D138" i="7"/>
  <c r="C138" i="7"/>
  <c r="D137" i="7"/>
  <c r="C137" i="7"/>
  <c r="D136" i="7"/>
  <c r="C136" i="7"/>
  <c r="D135" i="7"/>
  <c r="C135" i="7"/>
  <c r="D134" i="7"/>
  <c r="C134" i="7"/>
  <c r="D133" i="7"/>
  <c r="C133" i="7"/>
  <c r="D132" i="7"/>
  <c r="C132" i="7"/>
  <c r="D131" i="7"/>
  <c r="C131" i="7"/>
  <c r="D130" i="7"/>
  <c r="C130" i="7"/>
  <c r="D129" i="7"/>
  <c r="C129" i="7"/>
  <c r="D128" i="7"/>
  <c r="C128" i="7"/>
  <c r="D127" i="7"/>
  <c r="C127" i="7"/>
  <c r="D126" i="7"/>
  <c r="C126" i="7"/>
  <c r="D125" i="7"/>
  <c r="C125" i="7"/>
  <c r="D124" i="7"/>
  <c r="C124" i="7"/>
  <c r="D123" i="7"/>
  <c r="C123" i="7"/>
  <c r="D122" i="7"/>
  <c r="C122" i="7"/>
  <c r="D121" i="7"/>
  <c r="C121" i="7"/>
  <c r="D120" i="7"/>
  <c r="C120" i="7"/>
  <c r="D119" i="7"/>
  <c r="C119" i="7"/>
  <c r="D118" i="7"/>
  <c r="C118" i="7"/>
  <c r="D117" i="7"/>
  <c r="C117" i="7"/>
  <c r="D116" i="7"/>
  <c r="C116" i="7"/>
  <c r="D115" i="7"/>
  <c r="C115" i="7"/>
  <c r="D114" i="7"/>
  <c r="C114" i="7"/>
  <c r="D113" i="7"/>
  <c r="C113" i="7"/>
  <c r="D112" i="7"/>
  <c r="C112" i="7"/>
  <c r="D111" i="7"/>
  <c r="C111" i="7"/>
  <c r="D110" i="7"/>
  <c r="C110" i="7"/>
  <c r="D109" i="7"/>
  <c r="C109" i="7"/>
  <c r="D108" i="7"/>
  <c r="C108" i="7"/>
  <c r="D107" i="7"/>
  <c r="C107" i="7"/>
  <c r="D106" i="7"/>
  <c r="C106" i="7"/>
  <c r="D105" i="7"/>
  <c r="C105" i="7"/>
  <c r="D104" i="7"/>
  <c r="C104" i="7"/>
  <c r="D103" i="7"/>
  <c r="C103" i="7"/>
  <c r="D102" i="7"/>
  <c r="C102" i="7"/>
  <c r="D101" i="7"/>
  <c r="C101" i="7"/>
  <c r="D100" i="7"/>
  <c r="C100" i="7"/>
  <c r="D99" i="7"/>
  <c r="C99" i="7"/>
  <c r="D98" i="7"/>
  <c r="C98" i="7"/>
  <c r="D97" i="7"/>
  <c r="C97" i="7"/>
  <c r="D96" i="7"/>
  <c r="C96" i="7"/>
  <c r="D95" i="7"/>
  <c r="C95" i="7"/>
  <c r="D94" i="7"/>
  <c r="C94" i="7"/>
  <c r="D93" i="7"/>
  <c r="C93" i="7"/>
  <c r="D92" i="7"/>
  <c r="C92" i="7"/>
  <c r="D91" i="7"/>
  <c r="C91" i="7"/>
  <c r="D90" i="7"/>
  <c r="C90" i="7"/>
  <c r="D89" i="7"/>
  <c r="C89" i="7"/>
  <c r="D88" i="7"/>
  <c r="C88" i="7"/>
  <c r="D87" i="7"/>
  <c r="C87" i="7"/>
  <c r="D86" i="7"/>
  <c r="C86" i="7"/>
  <c r="D85" i="7"/>
  <c r="C85" i="7"/>
  <c r="D84" i="7"/>
  <c r="C84" i="7"/>
  <c r="D83" i="7"/>
  <c r="C83" i="7"/>
  <c r="D82" i="7"/>
  <c r="C82" i="7"/>
  <c r="D81" i="7"/>
  <c r="C81" i="7"/>
  <c r="D80" i="7"/>
  <c r="C80" i="7"/>
  <c r="D79" i="7"/>
  <c r="C79" i="7"/>
  <c r="D78" i="7"/>
  <c r="C78" i="7"/>
  <c r="D77" i="7"/>
  <c r="C77" i="7"/>
  <c r="D76" i="7"/>
  <c r="C76" i="7"/>
  <c r="D75" i="7"/>
  <c r="C75" i="7"/>
  <c r="D74" i="7"/>
  <c r="C74" i="7"/>
  <c r="D73" i="7"/>
  <c r="C73" i="7"/>
  <c r="D72" i="7"/>
  <c r="C72" i="7"/>
  <c r="D71" i="7"/>
  <c r="C71" i="7"/>
  <c r="D70" i="7"/>
  <c r="C70" i="7"/>
  <c r="D69" i="7"/>
  <c r="C69" i="7"/>
  <c r="D68" i="7"/>
  <c r="C68" i="7"/>
  <c r="D67" i="7"/>
  <c r="C67" i="7"/>
  <c r="D66" i="7"/>
  <c r="C66" i="7"/>
  <c r="D65" i="7"/>
  <c r="C65" i="7"/>
  <c r="D64" i="7"/>
  <c r="C64" i="7"/>
  <c r="D63" i="7"/>
  <c r="C63" i="7"/>
  <c r="D62" i="7"/>
  <c r="C62" i="7"/>
  <c r="D61" i="7"/>
  <c r="C61" i="7"/>
  <c r="D60" i="7"/>
  <c r="C60" i="7"/>
  <c r="D59" i="7"/>
  <c r="C59" i="7"/>
  <c r="D58" i="7"/>
  <c r="C58" i="7"/>
  <c r="D57" i="7"/>
  <c r="C57" i="7"/>
  <c r="D56" i="7"/>
  <c r="C56" i="7"/>
  <c r="D55" i="7"/>
  <c r="C55" i="7"/>
  <c r="D54" i="7"/>
  <c r="C54" i="7"/>
  <c r="D53" i="7"/>
  <c r="C53" i="7"/>
  <c r="D52" i="7"/>
  <c r="C52" i="7"/>
  <c r="D51" i="7"/>
  <c r="C51" i="7"/>
  <c r="D50" i="7"/>
  <c r="C50" i="7"/>
  <c r="D49" i="7"/>
  <c r="C49" i="7"/>
  <c r="D48" i="7"/>
  <c r="C48" i="7"/>
  <c r="D47" i="7"/>
  <c r="C47" i="7"/>
  <c r="D46" i="7"/>
  <c r="C46" i="7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D38" i="7"/>
  <c r="C38" i="7"/>
  <c r="D37" i="7"/>
  <c r="C37" i="7"/>
  <c r="D36" i="7"/>
  <c r="C36" i="7"/>
  <c r="D35" i="7"/>
  <c r="C35" i="7"/>
  <c r="D34" i="7"/>
  <c r="C34" i="7"/>
  <c r="D33" i="7"/>
  <c r="C33" i="7"/>
  <c r="D32" i="7"/>
  <c r="C32" i="7"/>
  <c r="D31" i="7"/>
  <c r="C31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5" i="7"/>
  <c r="C15" i="7"/>
  <c r="D14" i="7"/>
  <c r="C14" i="7"/>
  <c r="N6" i="7"/>
  <c r="M5" i="7"/>
  <c r="M8" i="7" s="1"/>
  <c r="I30" i="10" l="1"/>
  <c r="O7" i="10" s="1"/>
  <c r="K30" i="10"/>
  <c r="O8" i="10" s="1"/>
  <c r="O9" i="10" s="1"/>
  <c r="B72" i="10"/>
  <c r="C68" i="9"/>
  <c r="D68" i="9"/>
  <c r="B69" i="9"/>
  <c r="R6" i="8"/>
  <c r="S6" i="8" s="1"/>
  <c r="Q12" i="8"/>
  <c r="Q11" i="8"/>
  <c r="Q5" i="8"/>
  <c r="Q8" i="8" s="1"/>
  <c r="O4" i="8"/>
  <c r="P8" i="8"/>
  <c r="P13" i="8"/>
  <c r="R5" i="8"/>
  <c r="R8" i="8" s="1"/>
  <c r="N12" i="7"/>
  <c r="M12" i="7"/>
  <c r="N11" i="7"/>
  <c r="M11" i="7"/>
  <c r="N5" i="7"/>
  <c r="O6" i="7"/>
  <c r="O12" i="7" s="1"/>
  <c r="M7" i="7"/>
  <c r="M4" i="7" s="1"/>
  <c r="H6" i="5"/>
  <c r="H5" i="5" s="1"/>
  <c r="I6" i="5"/>
  <c r="I5" i="5" s="1"/>
  <c r="J6" i="5"/>
  <c r="J5" i="5" s="1"/>
  <c r="K6" i="5"/>
  <c r="K5" i="5" s="1"/>
  <c r="L6" i="5"/>
  <c r="L5" i="5" s="1"/>
  <c r="M6" i="5"/>
  <c r="M5" i="5" s="1"/>
  <c r="N6" i="5"/>
  <c r="N5" i="5" s="1"/>
  <c r="O6" i="5"/>
  <c r="O5" i="5" s="1"/>
  <c r="P6" i="5"/>
  <c r="P5" i="5" s="1"/>
  <c r="Q6" i="5"/>
  <c r="Q5" i="5" s="1"/>
  <c r="R6" i="5"/>
  <c r="R5" i="5" s="1"/>
  <c r="S6" i="5"/>
  <c r="S5" i="5" s="1"/>
  <c r="T6" i="5"/>
  <c r="T5" i="5" s="1"/>
  <c r="U6" i="5"/>
  <c r="U5" i="5" s="1"/>
  <c r="V6" i="5"/>
  <c r="V5" i="5" s="1"/>
  <c r="W6" i="5"/>
  <c r="W5" i="5" s="1"/>
  <c r="X6" i="5"/>
  <c r="X5" i="5" s="1"/>
  <c r="Y6" i="5"/>
  <c r="Y5" i="5" s="1"/>
  <c r="Z6" i="5"/>
  <c r="Z5" i="5" s="1"/>
  <c r="AA6" i="5"/>
  <c r="AA5" i="5" s="1"/>
  <c r="AB6" i="5"/>
  <c r="AB5" i="5" s="1"/>
  <c r="AC6" i="5"/>
  <c r="AC5" i="5" s="1"/>
  <c r="AD6" i="5"/>
  <c r="AD5" i="5" s="1"/>
  <c r="AE6" i="5"/>
  <c r="AE5" i="5" s="1"/>
  <c r="AF6" i="5"/>
  <c r="AF5" i="5" s="1"/>
  <c r="AG6" i="5"/>
  <c r="AG5" i="5" s="1"/>
  <c r="AH6" i="5"/>
  <c r="AH5" i="5" s="1"/>
  <c r="AI6" i="5"/>
  <c r="AI5" i="5" s="1"/>
  <c r="AJ6" i="5"/>
  <c r="AJ5" i="5" s="1"/>
  <c r="AK6" i="5"/>
  <c r="AK5" i="5" s="1"/>
  <c r="AL6" i="5"/>
  <c r="AL5" i="5" s="1"/>
  <c r="G6" i="5"/>
  <c r="G5" i="5" s="1"/>
  <c r="B73" i="10" l="1"/>
  <c r="C69" i="9"/>
  <c r="D69" i="9"/>
  <c r="B70" i="9"/>
  <c r="Q13" i="8"/>
  <c r="Q7" i="8"/>
  <c r="Q4" i="8" s="1"/>
  <c r="S12" i="8"/>
  <c r="S11" i="8"/>
  <c r="R12" i="8"/>
  <c r="R11" i="8"/>
  <c r="R7" i="8"/>
  <c r="R4" i="8" s="1"/>
  <c r="P4" i="8"/>
  <c r="T6" i="8"/>
  <c r="S5" i="8"/>
  <c r="S8" i="8" s="1"/>
  <c r="O11" i="7"/>
  <c r="O13" i="7" s="1"/>
  <c r="M13" i="7"/>
  <c r="N13" i="7"/>
  <c r="N8" i="7"/>
  <c r="P6" i="7"/>
  <c r="O5" i="7"/>
  <c r="O7" i="7" s="1"/>
  <c r="N7" i="7"/>
  <c r="W6" i="10" l="1"/>
  <c r="X6" i="10" s="1"/>
  <c r="B74" i="10"/>
  <c r="D70" i="9"/>
  <c r="B71" i="9"/>
  <c r="C70" i="9"/>
  <c r="R13" i="8"/>
  <c r="T12" i="8"/>
  <c r="T11" i="8"/>
  <c r="S7" i="8"/>
  <c r="S4" i="8" s="1"/>
  <c r="U6" i="8"/>
  <c r="T5" i="8"/>
  <c r="T8" i="8" s="1"/>
  <c r="S13" i="8"/>
  <c r="P12" i="7"/>
  <c r="P11" i="7"/>
  <c r="O8" i="7"/>
  <c r="O4" i="7" s="1"/>
  <c r="Q6" i="7"/>
  <c r="P5" i="7"/>
  <c r="P7" i="7" s="1"/>
  <c r="N4" i="7"/>
  <c r="B75" i="10" l="1"/>
  <c r="W8" i="10"/>
  <c r="W9" i="10" s="1"/>
  <c r="W7" i="10"/>
  <c r="C71" i="9"/>
  <c r="D71" i="9"/>
  <c r="B72" i="9"/>
  <c r="U12" i="8"/>
  <c r="U11" i="8"/>
  <c r="T7" i="8"/>
  <c r="T4" i="8" s="1"/>
  <c r="T13" i="8"/>
  <c r="P8" i="7"/>
  <c r="P4" i="7" s="1"/>
  <c r="V6" i="8"/>
  <c r="U5" i="8"/>
  <c r="U8" i="8" s="1"/>
  <c r="P13" i="7"/>
  <c r="Q11" i="7"/>
  <c r="Q12" i="7"/>
  <c r="R6" i="7"/>
  <c r="Q5" i="7"/>
  <c r="C209" i="3"/>
  <c r="D209" i="3"/>
  <c r="C210" i="3"/>
  <c r="D210" i="3"/>
  <c r="C211" i="3"/>
  <c r="D211" i="3"/>
  <c r="C212" i="3"/>
  <c r="D212" i="3"/>
  <c r="C213" i="3"/>
  <c r="D213" i="3"/>
  <c r="C214" i="3"/>
  <c r="D214" i="3"/>
  <c r="C215" i="3"/>
  <c r="D215" i="3"/>
  <c r="C216" i="3"/>
  <c r="D216" i="3"/>
  <c r="C217" i="3"/>
  <c r="D217" i="3"/>
  <c r="C218" i="3"/>
  <c r="D218" i="3"/>
  <c r="C219" i="3"/>
  <c r="D219" i="3"/>
  <c r="C220" i="3"/>
  <c r="D220" i="3"/>
  <c r="C221" i="3"/>
  <c r="D221" i="3"/>
  <c r="C222" i="3"/>
  <c r="D222" i="3"/>
  <c r="C223" i="3"/>
  <c r="D223" i="3"/>
  <c r="C224" i="3"/>
  <c r="D224" i="3"/>
  <c r="C225" i="3"/>
  <c r="D225" i="3"/>
  <c r="C226" i="3"/>
  <c r="D226" i="3"/>
  <c r="C227" i="3"/>
  <c r="D227" i="3"/>
  <c r="C228" i="3"/>
  <c r="D228" i="3"/>
  <c r="C229" i="3"/>
  <c r="D229" i="3"/>
  <c r="C230" i="3"/>
  <c r="D230" i="3"/>
  <c r="C231" i="3"/>
  <c r="D231" i="3"/>
  <c r="C232" i="3"/>
  <c r="D232" i="3"/>
  <c r="C233" i="3"/>
  <c r="D233" i="3"/>
  <c r="C234" i="3"/>
  <c r="D234" i="3"/>
  <c r="C235" i="3"/>
  <c r="D235" i="3"/>
  <c r="C236" i="3"/>
  <c r="D236" i="3"/>
  <c r="C237" i="3"/>
  <c r="D237" i="3"/>
  <c r="C238" i="3"/>
  <c r="D238" i="3"/>
  <c r="C239" i="3"/>
  <c r="D239" i="3"/>
  <c r="C240" i="3"/>
  <c r="D240" i="3"/>
  <c r="C241" i="3"/>
  <c r="D241" i="3"/>
  <c r="C242" i="3"/>
  <c r="D242" i="3"/>
  <c r="C243" i="3"/>
  <c r="D243" i="3"/>
  <c r="C244" i="3"/>
  <c r="D244" i="3"/>
  <c r="C245" i="3"/>
  <c r="D245" i="3"/>
  <c r="C246" i="3"/>
  <c r="D246" i="3"/>
  <c r="C247" i="3"/>
  <c r="D247" i="3"/>
  <c r="C248" i="3"/>
  <c r="D248" i="3"/>
  <c r="C249" i="3"/>
  <c r="D249" i="3"/>
  <c r="C250" i="3"/>
  <c r="D250" i="3"/>
  <c r="C251" i="3"/>
  <c r="D251" i="3"/>
  <c r="C252" i="3"/>
  <c r="D252" i="3"/>
  <c r="C253" i="3"/>
  <c r="D253" i="3"/>
  <c r="C254" i="3"/>
  <c r="D254" i="3"/>
  <c r="C255" i="3"/>
  <c r="D255" i="3"/>
  <c r="C256" i="3"/>
  <c r="D256" i="3"/>
  <c r="C257" i="3"/>
  <c r="D257" i="3"/>
  <c r="C258" i="3"/>
  <c r="D258" i="3"/>
  <c r="C259" i="3"/>
  <c r="D259" i="3"/>
  <c r="C260" i="3"/>
  <c r="D260" i="3"/>
  <c r="C261" i="3"/>
  <c r="D261" i="3"/>
  <c r="C262" i="3"/>
  <c r="D262" i="3"/>
  <c r="C263" i="3"/>
  <c r="D263" i="3"/>
  <c r="C264" i="3"/>
  <c r="D264" i="3"/>
  <c r="C265" i="3"/>
  <c r="D265" i="3"/>
  <c r="C266" i="3"/>
  <c r="D266" i="3"/>
  <c r="C267" i="3"/>
  <c r="D267" i="3"/>
  <c r="C268" i="3"/>
  <c r="D268" i="3"/>
  <c r="C269" i="3"/>
  <c r="D269" i="3"/>
  <c r="C270" i="3"/>
  <c r="D270" i="3"/>
  <c r="C271" i="3"/>
  <c r="D271" i="3"/>
  <c r="C272" i="3"/>
  <c r="D272" i="3"/>
  <c r="C273" i="3"/>
  <c r="D273" i="3"/>
  <c r="C274" i="3"/>
  <c r="D274" i="3"/>
  <c r="C275" i="3"/>
  <c r="D275" i="3"/>
  <c r="C276" i="3"/>
  <c r="D276" i="3"/>
  <c r="C277" i="3"/>
  <c r="D277" i="3"/>
  <c r="C278" i="3"/>
  <c r="D278" i="3"/>
  <c r="C279" i="3"/>
  <c r="D279" i="3"/>
  <c r="C280" i="3"/>
  <c r="D280" i="3"/>
  <c r="C281" i="3"/>
  <c r="D281" i="3"/>
  <c r="C282" i="3"/>
  <c r="D282" i="3"/>
  <c r="C283" i="3"/>
  <c r="D283" i="3"/>
  <c r="C284" i="3"/>
  <c r="D284" i="3"/>
  <c r="C285" i="3"/>
  <c r="D285" i="3"/>
  <c r="C286" i="3"/>
  <c r="D286" i="3"/>
  <c r="C287" i="3"/>
  <c r="D287" i="3"/>
  <c r="C288" i="3"/>
  <c r="D288" i="3"/>
  <c r="C289" i="3"/>
  <c r="D289" i="3"/>
  <c r="C290" i="3"/>
  <c r="D290" i="3"/>
  <c r="C291" i="3"/>
  <c r="D291" i="3"/>
  <c r="C292" i="3"/>
  <c r="D292" i="3"/>
  <c r="C293" i="3"/>
  <c r="D293" i="3"/>
  <c r="C294" i="3"/>
  <c r="D294" i="3"/>
  <c r="C295" i="3"/>
  <c r="D295" i="3"/>
  <c r="C296" i="3"/>
  <c r="D296" i="3"/>
  <c r="C297" i="3"/>
  <c r="D297" i="3"/>
  <c r="C298" i="3"/>
  <c r="D298" i="3"/>
  <c r="C299" i="3"/>
  <c r="D299" i="3"/>
  <c r="C300" i="3"/>
  <c r="D300" i="3"/>
  <c r="C301" i="3"/>
  <c r="D301" i="3"/>
  <c r="C302" i="3"/>
  <c r="D302" i="3"/>
  <c r="C303" i="3"/>
  <c r="D303" i="3"/>
  <c r="C304" i="3"/>
  <c r="D304" i="3"/>
  <c r="C305" i="3"/>
  <c r="D305" i="3"/>
  <c r="C306" i="3"/>
  <c r="D306" i="3"/>
  <c r="C307" i="3"/>
  <c r="D307" i="3"/>
  <c r="C308" i="3"/>
  <c r="D308" i="3"/>
  <c r="C309" i="3"/>
  <c r="D309" i="3"/>
  <c r="C310" i="3"/>
  <c r="D310" i="3"/>
  <c r="C311" i="3"/>
  <c r="D311" i="3"/>
  <c r="C312" i="3"/>
  <c r="D312" i="3"/>
  <c r="C313" i="3"/>
  <c r="D313" i="3"/>
  <c r="C314" i="3"/>
  <c r="D314" i="3"/>
  <c r="C315" i="3"/>
  <c r="D315" i="3"/>
  <c r="C316" i="3"/>
  <c r="D316" i="3"/>
  <c r="C317" i="3"/>
  <c r="D317" i="3"/>
  <c r="C318" i="3"/>
  <c r="D318" i="3"/>
  <c r="C319" i="3"/>
  <c r="D319" i="3"/>
  <c r="C320" i="3"/>
  <c r="D320" i="3"/>
  <c r="C321" i="3"/>
  <c r="D321" i="3"/>
  <c r="C322" i="3"/>
  <c r="D322" i="3"/>
  <c r="C323" i="3"/>
  <c r="D323" i="3"/>
  <c r="C324" i="3"/>
  <c r="D324" i="3"/>
  <c r="C325" i="3"/>
  <c r="D325" i="3"/>
  <c r="C326" i="3"/>
  <c r="D326" i="3"/>
  <c r="C327" i="3"/>
  <c r="D327" i="3"/>
  <c r="C328" i="3"/>
  <c r="D328" i="3"/>
  <c r="C329" i="3"/>
  <c r="D329" i="3"/>
  <c r="C330" i="3"/>
  <c r="D330" i="3"/>
  <c r="C331" i="3"/>
  <c r="D331" i="3"/>
  <c r="C332" i="3"/>
  <c r="D332" i="3"/>
  <c r="C333" i="3"/>
  <c r="D333" i="3"/>
  <c r="C334" i="3"/>
  <c r="D334" i="3"/>
  <c r="C335" i="3"/>
  <c r="D335" i="3"/>
  <c r="C336" i="3"/>
  <c r="D336" i="3"/>
  <c r="C337" i="3"/>
  <c r="D337" i="3"/>
  <c r="C338" i="3"/>
  <c r="D338" i="3"/>
  <c r="C339" i="3"/>
  <c r="D339" i="3"/>
  <c r="C340" i="3"/>
  <c r="D340" i="3"/>
  <c r="C341" i="3"/>
  <c r="D341" i="3"/>
  <c r="C342" i="3"/>
  <c r="D342" i="3"/>
  <c r="C343" i="3"/>
  <c r="D343" i="3"/>
  <c r="C344" i="3"/>
  <c r="D344" i="3"/>
  <c r="C345" i="3"/>
  <c r="D345" i="3"/>
  <c r="C346" i="3"/>
  <c r="D346" i="3"/>
  <c r="C347" i="3"/>
  <c r="D347" i="3"/>
  <c r="C348" i="3"/>
  <c r="D348" i="3"/>
  <c r="C349" i="3"/>
  <c r="D349" i="3"/>
  <c r="C350" i="3"/>
  <c r="D350" i="3"/>
  <c r="C351" i="3"/>
  <c r="D351" i="3"/>
  <c r="C352" i="3"/>
  <c r="D352" i="3"/>
  <c r="C353" i="3"/>
  <c r="D353" i="3"/>
  <c r="C354" i="3"/>
  <c r="D354" i="3"/>
  <c r="C355" i="3"/>
  <c r="D355" i="3"/>
  <c r="C356" i="3"/>
  <c r="D356" i="3"/>
  <c r="C357" i="3"/>
  <c r="D357" i="3"/>
  <c r="C358" i="3"/>
  <c r="D358" i="3"/>
  <c r="C359" i="3"/>
  <c r="D359" i="3"/>
  <c r="C360" i="3"/>
  <c r="D360" i="3"/>
  <c r="C361" i="3"/>
  <c r="D361" i="3"/>
  <c r="C362" i="3"/>
  <c r="D362" i="3"/>
  <c r="C363" i="3"/>
  <c r="D363" i="3"/>
  <c r="C364" i="3"/>
  <c r="D364" i="3"/>
  <c r="C365" i="3"/>
  <c r="D365" i="3"/>
  <c r="C366" i="3"/>
  <c r="D366" i="3"/>
  <c r="C367" i="3"/>
  <c r="D367" i="3"/>
  <c r="C368" i="3"/>
  <c r="D368" i="3"/>
  <c r="C369" i="3"/>
  <c r="D369" i="3"/>
  <c r="C370" i="3"/>
  <c r="D370" i="3"/>
  <c r="C371" i="3"/>
  <c r="D371" i="3"/>
  <c r="C372" i="3"/>
  <c r="D372" i="3"/>
  <c r="C373" i="3"/>
  <c r="D373" i="3"/>
  <c r="C374" i="3"/>
  <c r="D374" i="3"/>
  <c r="C375" i="3"/>
  <c r="D375" i="3"/>
  <c r="C376" i="3"/>
  <c r="D376" i="3"/>
  <c r="C377" i="3"/>
  <c r="D377" i="3"/>
  <c r="C378" i="3"/>
  <c r="D378" i="3"/>
  <c r="C379" i="3"/>
  <c r="D379" i="3"/>
  <c r="C380" i="3"/>
  <c r="D380" i="3"/>
  <c r="C381" i="3"/>
  <c r="D381" i="3"/>
  <c r="C382" i="3"/>
  <c r="D382" i="3"/>
  <c r="C383" i="3"/>
  <c r="D383" i="3"/>
  <c r="C384" i="3"/>
  <c r="D384" i="3"/>
  <c r="C385" i="3"/>
  <c r="D385" i="3"/>
  <c r="C386" i="3"/>
  <c r="D386" i="3"/>
  <c r="C387" i="3"/>
  <c r="D387" i="3"/>
  <c r="C388" i="3"/>
  <c r="D388" i="3"/>
  <c r="C389" i="3"/>
  <c r="D389" i="3"/>
  <c r="C390" i="3"/>
  <c r="D390" i="3"/>
  <c r="C391" i="3"/>
  <c r="D391" i="3"/>
  <c r="C392" i="3"/>
  <c r="D392" i="3"/>
  <c r="C393" i="3"/>
  <c r="D393" i="3"/>
  <c r="C394" i="3"/>
  <c r="D394" i="3"/>
  <c r="C395" i="3"/>
  <c r="D395" i="3"/>
  <c r="C396" i="3"/>
  <c r="D396" i="3"/>
  <c r="C397" i="3"/>
  <c r="D397" i="3"/>
  <c r="C398" i="3"/>
  <c r="D398" i="3"/>
  <c r="C399" i="3"/>
  <c r="D399" i="3"/>
  <c r="C400" i="3"/>
  <c r="D400" i="3"/>
  <c r="C401" i="3"/>
  <c r="D401" i="3"/>
  <c r="C402" i="3"/>
  <c r="D402" i="3"/>
  <c r="C403" i="3"/>
  <c r="D403" i="3"/>
  <c r="C404" i="3"/>
  <c r="D404" i="3"/>
  <c r="C405" i="3"/>
  <c r="D405" i="3"/>
  <c r="C406" i="3"/>
  <c r="D406" i="3"/>
  <c r="C407" i="3"/>
  <c r="D407" i="3"/>
  <c r="C408" i="3"/>
  <c r="D408" i="3"/>
  <c r="C409" i="3"/>
  <c r="D409" i="3"/>
  <c r="C410" i="3"/>
  <c r="D410" i="3"/>
  <c r="C411" i="3"/>
  <c r="D411" i="3"/>
  <c r="C412" i="3"/>
  <c r="D412" i="3"/>
  <c r="C413" i="3"/>
  <c r="D413" i="3"/>
  <c r="C414" i="3"/>
  <c r="D414" i="3"/>
  <c r="C415" i="3"/>
  <c r="D415" i="3"/>
  <c r="C416" i="3"/>
  <c r="D416" i="3"/>
  <c r="C417" i="3"/>
  <c r="D417" i="3"/>
  <c r="C418" i="3"/>
  <c r="D418" i="3"/>
  <c r="C419" i="3"/>
  <c r="D419" i="3"/>
  <c r="C420" i="3"/>
  <c r="D420" i="3"/>
  <c r="C421" i="3"/>
  <c r="D421" i="3"/>
  <c r="C422" i="3"/>
  <c r="D422" i="3"/>
  <c r="C423" i="3"/>
  <c r="D423" i="3"/>
  <c r="C424" i="3"/>
  <c r="D424" i="3"/>
  <c r="C425" i="3"/>
  <c r="D425" i="3"/>
  <c r="C426" i="3"/>
  <c r="D426" i="3"/>
  <c r="C427" i="3"/>
  <c r="D427" i="3"/>
  <c r="C428" i="3"/>
  <c r="D428" i="3"/>
  <c r="C429" i="3"/>
  <c r="D429" i="3"/>
  <c r="C430" i="3"/>
  <c r="D430" i="3"/>
  <c r="C431" i="3"/>
  <c r="D431" i="3"/>
  <c r="C432" i="3"/>
  <c r="D432" i="3"/>
  <c r="C433" i="3"/>
  <c r="D433" i="3"/>
  <c r="C434" i="3"/>
  <c r="D434" i="3"/>
  <c r="C435" i="3"/>
  <c r="D435" i="3"/>
  <c r="C436" i="3"/>
  <c r="D436" i="3"/>
  <c r="C437" i="3"/>
  <c r="D437" i="3"/>
  <c r="C438" i="3"/>
  <c r="D438" i="3"/>
  <c r="C439" i="3"/>
  <c r="D439" i="3"/>
  <c r="C440" i="3"/>
  <c r="D440" i="3"/>
  <c r="C441" i="3"/>
  <c r="D441" i="3"/>
  <c r="C442" i="3"/>
  <c r="D442" i="3"/>
  <c r="C443" i="3"/>
  <c r="D443" i="3"/>
  <c r="C444" i="3"/>
  <c r="D444" i="3"/>
  <c r="C445" i="3"/>
  <c r="D445" i="3"/>
  <c r="C446" i="3"/>
  <c r="D446" i="3"/>
  <c r="C447" i="3"/>
  <c r="D447" i="3"/>
  <c r="C448" i="3"/>
  <c r="D448" i="3"/>
  <c r="C449" i="3"/>
  <c r="D449" i="3"/>
  <c r="C450" i="3"/>
  <c r="D450" i="3"/>
  <c r="C451" i="3"/>
  <c r="D451" i="3"/>
  <c r="C452" i="3"/>
  <c r="D452" i="3"/>
  <c r="C453" i="3"/>
  <c r="D453" i="3"/>
  <c r="C454" i="3"/>
  <c r="D454" i="3"/>
  <c r="C455" i="3"/>
  <c r="D455" i="3"/>
  <c r="C456" i="3"/>
  <c r="D456" i="3"/>
  <c r="C457" i="3"/>
  <c r="D457" i="3"/>
  <c r="C458" i="3"/>
  <c r="D458" i="3"/>
  <c r="C459" i="3"/>
  <c r="D459" i="3"/>
  <c r="C460" i="3"/>
  <c r="D460" i="3"/>
  <c r="C461" i="3"/>
  <c r="D461" i="3"/>
  <c r="C462" i="3"/>
  <c r="D462" i="3"/>
  <c r="C463" i="3"/>
  <c r="D463" i="3"/>
  <c r="C464" i="3"/>
  <c r="D464" i="3"/>
  <c r="C465" i="3"/>
  <c r="D465" i="3"/>
  <c r="C466" i="3"/>
  <c r="D466" i="3"/>
  <c r="C467" i="3"/>
  <c r="D467" i="3"/>
  <c r="C468" i="3"/>
  <c r="D468" i="3"/>
  <c r="C469" i="3"/>
  <c r="D469" i="3"/>
  <c r="C470" i="3"/>
  <c r="D470" i="3"/>
  <c r="C471" i="3"/>
  <c r="D471" i="3"/>
  <c r="C472" i="3"/>
  <c r="D472" i="3"/>
  <c r="C473" i="3"/>
  <c r="D473" i="3"/>
  <c r="C474" i="3"/>
  <c r="D474" i="3"/>
  <c r="C475" i="3"/>
  <c r="D475" i="3"/>
  <c r="C476" i="3"/>
  <c r="D476" i="3"/>
  <c r="C477" i="3"/>
  <c r="D477" i="3"/>
  <c r="C478" i="3"/>
  <c r="D478" i="3"/>
  <c r="C479" i="3"/>
  <c r="D479" i="3"/>
  <c r="C480" i="3"/>
  <c r="D480" i="3"/>
  <c r="C481" i="3"/>
  <c r="D481" i="3"/>
  <c r="C482" i="3"/>
  <c r="D482" i="3"/>
  <c r="C483" i="3"/>
  <c r="D483" i="3"/>
  <c r="C484" i="3"/>
  <c r="D484" i="3"/>
  <c r="C485" i="3"/>
  <c r="D485" i="3"/>
  <c r="C486" i="3"/>
  <c r="D486" i="3"/>
  <c r="C487" i="3"/>
  <c r="D487" i="3"/>
  <c r="C488" i="3"/>
  <c r="D488" i="3"/>
  <c r="C489" i="3"/>
  <c r="D489" i="3"/>
  <c r="C490" i="3"/>
  <c r="D490" i="3"/>
  <c r="C491" i="3"/>
  <c r="D491" i="3"/>
  <c r="C492" i="3"/>
  <c r="D492" i="3"/>
  <c r="C493" i="3"/>
  <c r="D493" i="3"/>
  <c r="C494" i="3"/>
  <c r="D494" i="3"/>
  <c r="C495" i="3"/>
  <c r="D495" i="3"/>
  <c r="C496" i="3"/>
  <c r="D496" i="3"/>
  <c r="C497" i="3"/>
  <c r="D497" i="3"/>
  <c r="C498" i="3"/>
  <c r="D498" i="3"/>
  <c r="C499" i="3"/>
  <c r="D499" i="3"/>
  <c r="C500" i="3"/>
  <c r="D500" i="3"/>
  <c r="C501" i="3"/>
  <c r="D501" i="3"/>
  <c r="C502" i="3"/>
  <c r="D502" i="3"/>
  <c r="C503" i="3"/>
  <c r="D503" i="3"/>
  <c r="C504" i="3"/>
  <c r="D504" i="3"/>
  <c r="J5" i="3"/>
  <c r="J7" i="3" s="1"/>
  <c r="K6" i="3"/>
  <c r="L6" i="3" s="1"/>
  <c r="C15" i="3"/>
  <c r="D15" i="3"/>
  <c r="C16" i="3"/>
  <c r="D16" i="3"/>
  <c r="C17" i="3"/>
  <c r="D17" i="3"/>
  <c r="C18" i="3"/>
  <c r="D18" i="3"/>
  <c r="C19" i="3"/>
  <c r="D19" i="3"/>
  <c r="C20" i="3"/>
  <c r="D20" i="3"/>
  <c r="C21" i="3"/>
  <c r="D21" i="3"/>
  <c r="C22" i="3"/>
  <c r="D22" i="3"/>
  <c r="C23" i="3"/>
  <c r="D23" i="3"/>
  <c r="C24" i="3"/>
  <c r="D24" i="3"/>
  <c r="C25" i="3"/>
  <c r="D25" i="3"/>
  <c r="C26" i="3"/>
  <c r="D26" i="3"/>
  <c r="C27" i="3"/>
  <c r="D27" i="3"/>
  <c r="C28" i="3"/>
  <c r="D28" i="3"/>
  <c r="C29" i="3"/>
  <c r="D29" i="3"/>
  <c r="C30" i="3"/>
  <c r="D30" i="3"/>
  <c r="C31" i="3"/>
  <c r="D31" i="3"/>
  <c r="C32" i="3"/>
  <c r="D32" i="3"/>
  <c r="C33" i="3"/>
  <c r="D33" i="3"/>
  <c r="C34" i="3"/>
  <c r="D34" i="3"/>
  <c r="C35" i="3"/>
  <c r="D35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C46" i="3"/>
  <c r="D46" i="3"/>
  <c r="C47" i="3"/>
  <c r="D47" i="3"/>
  <c r="C48" i="3"/>
  <c r="D48" i="3"/>
  <c r="C49" i="3"/>
  <c r="D49" i="3"/>
  <c r="C50" i="3"/>
  <c r="D50" i="3"/>
  <c r="C51" i="3"/>
  <c r="D51" i="3"/>
  <c r="C52" i="3"/>
  <c r="D52" i="3"/>
  <c r="C53" i="3"/>
  <c r="D53" i="3"/>
  <c r="C54" i="3"/>
  <c r="D54" i="3"/>
  <c r="C55" i="3"/>
  <c r="D55" i="3"/>
  <c r="C56" i="3"/>
  <c r="D56" i="3"/>
  <c r="C57" i="3"/>
  <c r="D57" i="3"/>
  <c r="C58" i="3"/>
  <c r="D58" i="3"/>
  <c r="C59" i="3"/>
  <c r="D59" i="3"/>
  <c r="C60" i="3"/>
  <c r="D60" i="3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C69" i="3"/>
  <c r="D69" i="3"/>
  <c r="C70" i="3"/>
  <c r="D70" i="3"/>
  <c r="C71" i="3"/>
  <c r="D71" i="3"/>
  <c r="C72" i="3"/>
  <c r="D72" i="3"/>
  <c r="C73" i="3"/>
  <c r="D73" i="3"/>
  <c r="C74" i="3"/>
  <c r="D74" i="3"/>
  <c r="C75" i="3"/>
  <c r="D75" i="3"/>
  <c r="C76" i="3"/>
  <c r="D76" i="3"/>
  <c r="C77" i="3"/>
  <c r="D77" i="3"/>
  <c r="C78" i="3"/>
  <c r="D78" i="3"/>
  <c r="C79" i="3"/>
  <c r="D79" i="3"/>
  <c r="C80" i="3"/>
  <c r="D80" i="3"/>
  <c r="C81" i="3"/>
  <c r="D81" i="3"/>
  <c r="C82" i="3"/>
  <c r="D82" i="3"/>
  <c r="C83" i="3"/>
  <c r="D83" i="3"/>
  <c r="C84" i="3"/>
  <c r="D84" i="3"/>
  <c r="C85" i="3"/>
  <c r="D85" i="3"/>
  <c r="C86" i="3"/>
  <c r="D86" i="3"/>
  <c r="C87" i="3"/>
  <c r="D87" i="3"/>
  <c r="C88" i="3"/>
  <c r="D88" i="3"/>
  <c r="C89" i="3"/>
  <c r="D89" i="3"/>
  <c r="C90" i="3"/>
  <c r="D90" i="3"/>
  <c r="C91" i="3"/>
  <c r="D91" i="3"/>
  <c r="C92" i="3"/>
  <c r="D92" i="3"/>
  <c r="C93" i="3"/>
  <c r="D93" i="3"/>
  <c r="C94" i="3"/>
  <c r="D94" i="3"/>
  <c r="C95" i="3"/>
  <c r="D95" i="3"/>
  <c r="C96" i="3"/>
  <c r="D96" i="3"/>
  <c r="C97" i="3"/>
  <c r="D97" i="3"/>
  <c r="C98" i="3"/>
  <c r="D98" i="3"/>
  <c r="C99" i="3"/>
  <c r="D99" i="3"/>
  <c r="C100" i="3"/>
  <c r="D100" i="3"/>
  <c r="C101" i="3"/>
  <c r="D101" i="3"/>
  <c r="C102" i="3"/>
  <c r="D102" i="3"/>
  <c r="C103" i="3"/>
  <c r="D103" i="3"/>
  <c r="C104" i="3"/>
  <c r="D104" i="3"/>
  <c r="C105" i="3"/>
  <c r="D105" i="3"/>
  <c r="C106" i="3"/>
  <c r="D106" i="3"/>
  <c r="C107" i="3"/>
  <c r="D107" i="3"/>
  <c r="C108" i="3"/>
  <c r="D108" i="3"/>
  <c r="C109" i="3"/>
  <c r="D109" i="3"/>
  <c r="C110" i="3"/>
  <c r="D110" i="3"/>
  <c r="C111" i="3"/>
  <c r="D111" i="3"/>
  <c r="C112" i="3"/>
  <c r="D112" i="3"/>
  <c r="C113" i="3"/>
  <c r="D113" i="3"/>
  <c r="C114" i="3"/>
  <c r="D114" i="3"/>
  <c r="C115" i="3"/>
  <c r="D115" i="3"/>
  <c r="C116" i="3"/>
  <c r="D116" i="3"/>
  <c r="C117" i="3"/>
  <c r="D117" i="3"/>
  <c r="C118" i="3"/>
  <c r="D118" i="3"/>
  <c r="C119" i="3"/>
  <c r="D119" i="3"/>
  <c r="C120" i="3"/>
  <c r="D120" i="3"/>
  <c r="C121" i="3"/>
  <c r="D121" i="3"/>
  <c r="C122" i="3"/>
  <c r="D122" i="3"/>
  <c r="C123" i="3"/>
  <c r="D123" i="3"/>
  <c r="C124" i="3"/>
  <c r="D124" i="3"/>
  <c r="C125" i="3"/>
  <c r="D125" i="3"/>
  <c r="C126" i="3"/>
  <c r="D126" i="3"/>
  <c r="C127" i="3"/>
  <c r="D127" i="3"/>
  <c r="C128" i="3"/>
  <c r="D128" i="3"/>
  <c r="C129" i="3"/>
  <c r="D129" i="3"/>
  <c r="C130" i="3"/>
  <c r="D130" i="3"/>
  <c r="C131" i="3"/>
  <c r="D131" i="3"/>
  <c r="C132" i="3"/>
  <c r="D132" i="3"/>
  <c r="C133" i="3"/>
  <c r="D133" i="3"/>
  <c r="C134" i="3"/>
  <c r="D134" i="3"/>
  <c r="C135" i="3"/>
  <c r="D135" i="3"/>
  <c r="C136" i="3"/>
  <c r="D136" i="3"/>
  <c r="C137" i="3"/>
  <c r="D137" i="3"/>
  <c r="C138" i="3"/>
  <c r="D138" i="3"/>
  <c r="C139" i="3"/>
  <c r="D139" i="3"/>
  <c r="C140" i="3"/>
  <c r="D140" i="3"/>
  <c r="C141" i="3"/>
  <c r="D141" i="3"/>
  <c r="C142" i="3"/>
  <c r="D142" i="3"/>
  <c r="C143" i="3"/>
  <c r="D143" i="3"/>
  <c r="C144" i="3"/>
  <c r="D144" i="3"/>
  <c r="C145" i="3"/>
  <c r="D145" i="3"/>
  <c r="C146" i="3"/>
  <c r="D146" i="3"/>
  <c r="C147" i="3"/>
  <c r="D147" i="3"/>
  <c r="C148" i="3"/>
  <c r="D148" i="3"/>
  <c r="C149" i="3"/>
  <c r="D149" i="3"/>
  <c r="C150" i="3"/>
  <c r="D150" i="3"/>
  <c r="C151" i="3"/>
  <c r="D151" i="3"/>
  <c r="C152" i="3"/>
  <c r="D152" i="3"/>
  <c r="C153" i="3"/>
  <c r="D153" i="3"/>
  <c r="C154" i="3"/>
  <c r="D154" i="3"/>
  <c r="C155" i="3"/>
  <c r="D155" i="3"/>
  <c r="C156" i="3"/>
  <c r="D156" i="3"/>
  <c r="C157" i="3"/>
  <c r="D157" i="3"/>
  <c r="C158" i="3"/>
  <c r="D158" i="3"/>
  <c r="C159" i="3"/>
  <c r="D159" i="3"/>
  <c r="C160" i="3"/>
  <c r="D160" i="3"/>
  <c r="C161" i="3"/>
  <c r="D161" i="3"/>
  <c r="C162" i="3"/>
  <c r="D162" i="3"/>
  <c r="C163" i="3"/>
  <c r="D163" i="3"/>
  <c r="C164" i="3"/>
  <c r="D164" i="3"/>
  <c r="C165" i="3"/>
  <c r="D165" i="3"/>
  <c r="C166" i="3"/>
  <c r="D166" i="3"/>
  <c r="C167" i="3"/>
  <c r="D167" i="3"/>
  <c r="C168" i="3"/>
  <c r="D168" i="3"/>
  <c r="C169" i="3"/>
  <c r="D169" i="3"/>
  <c r="C170" i="3"/>
  <c r="D170" i="3"/>
  <c r="C171" i="3"/>
  <c r="D171" i="3"/>
  <c r="C172" i="3"/>
  <c r="D172" i="3"/>
  <c r="C173" i="3"/>
  <c r="D173" i="3"/>
  <c r="C174" i="3"/>
  <c r="D174" i="3"/>
  <c r="C175" i="3"/>
  <c r="D175" i="3"/>
  <c r="C176" i="3"/>
  <c r="D176" i="3"/>
  <c r="C177" i="3"/>
  <c r="D177" i="3"/>
  <c r="C178" i="3"/>
  <c r="D178" i="3"/>
  <c r="C179" i="3"/>
  <c r="D179" i="3"/>
  <c r="C180" i="3"/>
  <c r="D180" i="3"/>
  <c r="C181" i="3"/>
  <c r="D181" i="3"/>
  <c r="C182" i="3"/>
  <c r="D182" i="3"/>
  <c r="C183" i="3"/>
  <c r="D183" i="3"/>
  <c r="C184" i="3"/>
  <c r="D184" i="3"/>
  <c r="C185" i="3"/>
  <c r="D185" i="3"/>
  <c r="C186" i="3"/>
  <c r="D186" i="3"/>
  <c r="C187" i="3"/>
  <c r="D187" i="3"/>
  <c r="C188" i="3"/>
  <c r="D188" i="3"/>
  <c r="C189" i="3"/>
  <c r="D189" i="3"/>
  <c r="C190" i="3"/>
  <c r="D190" i="3"/>
  <c r="C191" i="3"/>
  <c r="D191" i="3"/>
  <c r="C192" i="3"/>
  <c r="D192" i="3"/>
  <c r="C193" i="3"/>
  <c r="D193" i="3"/>
  <c r="C194" i="3"/>
  <c r="D194" i="3"/>
  <c r="C195" i="3"/>
  <c r="D195" i="3"/>
  <c r="C196" i="3"/>
  <c r="D196" i="3"/>
  <c r="C197" i="3"/>
  <c r="D197" i="3"/>
  <c r="C198" i="3"/>
  <c r="D198" i="3"/>
  <c r="C199" i="3"/>
  <c r="D199" i="3"/>
  <c r="C200" i="3"/>
  <c r="D200" i="3"/>
  <c r="C201" i="3"/>
  <c r="D201" i="3"/>
  <c r="C202" i="3"/>
  <c r="D202" i="3"/>
  <c r="C203" i="3"/>
  <c r="D203" i="3"/>
  <c r="C204" i="3"/>
  <c r="D204" i="3"/>
  <c r="C205" i="3"/>
  <c r="D205" i="3"/>
  <c r="C206" i="3"/>
  <c r="D206" i="3"/>
  <c r="C207" i="3"/>
  <c r="D207" i="3"/>
  <c r="C208" i="3"/>
  <c r="D208" i="3"/>
  <c r="D14" i="3"/>
  <c r="C14" i="3"/>
  <c r="B76" i="10" l="1"/>
  <c r="X7" i="10"/>
  <c r="X8" i="10"/>
  <c r="X9" i="10" s="1"/>
  <c r="C72" i="9"/>
  <c r="D72" i="9"/>
  <c r="B73" i="9"/>
  <c r="V12" i="8"/>
  <c r="V11" i="8"/>
  <c r="U7" i="8"/>
  <c r="U4" i="8" s="1"/>
  <c r="W6" i="8"/>
  <c r="V5" i="8"/>
  <c r="V7" i="8" s="1"/>
  <c r="U13" i="8"/>
  <c r="R12" i="7"/>
  <c r="R11" i="7"/>
  <c r="Q13" i="7"/>
  <c r="Q8" i="7"/>
  <c r="Q7" i="7"/>
  <c r="Q4" i="7" s="1"/>
  <c r="R5" i="7"/>
  <c r="S6" i="7"/>
  <c r="J8" i="3"/>
  <c r="M6" i="3"/>
  <c r="L5" i="3"/>
  <c r="L8" i="3" s="1"/>
  <c r="K5" i="3"/>
  <c r="K7" i="3" s="1"/>
  <c r="B77" i="10" l="1"/>
  <c r="C73" i="9"/>
  <c r="D73" i="9"/>
  <c r="B74" i="9"/>
  <c r="W11" i="8"/>
  <c r="W12" i="8"/>
  <c r="V8" i="8"/>
  <c r="V4" i="8" s="1"/>
  <c r="V13" i="8"/>
  <c r="X6" i="8"/>
  <c r="W5" i="8"/>
  <c r="W7" i="8" s="1"/>
  <c r="R13" i="7"/>
  <c r="S12" i="7"/>
  <c r="S11" i="7"/>
  <c r="R7" i="7"/>
  <c r="R8" i="7"/>
  <c r="S5" i="7"/>
  <c r="S8" i="7" s="1"/>
  <c r="T6" i="7"/>
  <c r="K8" i="3"/>
  <c r="K4" i="3" s="1"/>
  <c r="L7" i="3"/>
  <c r="L4" i="3" s="1"/>
  <c r="J4" i="3"/>
  <c r="N6" i="3"/>
  <c r="M5" i="3"/>
  <c r="M8" i="3" s="1"/>
  <c r="AF6" i="10" l="1"/>
  <c r="AG6" i="10" s="1"/>
  <c r="B78" i="10"/>
  <c r="C74" i="9"/>
  <c r="D74" i="9"/>
  <c r="B75" i="9"/>
  <c r="X12" i="8"/>
  <c r="X11" i="8"/>
  <c r="W8" i="8"/>
  <c r="W4" i="8" s="1"/>
  <c r="W13" i="8"/>
  <c r="Y6" i="8"/>
  <c r="X5" i="8"/>
  <c r="X8" i="8" s="1"/>
  <c r="S13" i="7"/>
  <c r="S7" i="7"/>
  <c r="S4" i="7" s="1"/>
  <c r="T12" i="7"/>
  <c r="T11" i="7"/>
  <c r="U6" i="7"/>
  <c r="T5" i="7"/>
  <c r="T7" i="7" s="1"/>
  <c r="R4" i="7"/>
  <c r="M7" i="3"/>
  <c r="O6" i="3"/>
  <c r="N5" i="3"/>
  <c r="N8" i="3" s="1"/>
  <c r="AF7" i="10" l="1"/>
  <c r="AF8" i="10"/>
  <c r="AF9" i="10" s="1"/>
  <c r="B79" i="10"/>
  <c r="B76" i="9"/>
  <c r="C75" i="9"/>
  <c r="D75" i="9"/>
  <c r="X7" i="8"/>
  <c r="X4" i="8" s="1"/>
  <c r="Y12" i="8"/>
  <c r="Y11" i="8"/>
  <c r="X13" i="8"/>
  <c r="Y5" i="8"/>
  <c r="Y7" i="8" s="1"/>
  <c r="Z6" i="8"/>
  <c r="T8" i="7"/>
  <c r="T4" i="7" s="1"/>
  <c r="T13" i="7"/>
  <c r="U12" i="7"/>
  <c r="U11" i="7"/>
  <c r="U5" i="7"/>
  <c r="V6" i="7"/>
  <c r="N7" i="3"/>
  <c r="N4" i="3" s="1"/>
  <c r="M4" i="3"/>
  <c r="P6" i="3"/>
  <c r="O5" i="3"/>
  <c r="O8" i="3" s="1"/>
  <c r="AG7" i="10" l="1"/>
  <c r="B80" i="10"/>
  <c r="AG8" i="10"/>
  <c r="AG9" i="10" s="1"/>
  <c r="C76" i="9"/>
  <c r="D76" i="9"/>
  <c r="B77" i="9"/>
  <c r="Y8" i="8"/>
  <c r="Y4" i="8" s="1"/>
  <c r="Z12" i="8"/>
  <c r="Z11" i="8"/>
  <c r="Y13" i="8"/>
  <c r="AA6" i="8"/>
  <c r="Z5" i="8"/>
  <c r="Z7" i="8" s="1"/>
  <c r="U13" i="7"/>
  <c r="V11" i="7"/>
  <c r="V12" i="7"/>
  <c r="U7" i="7"/>
  <c r="U8" i="7"/>
  <c r="W6" i="7"/>
  <c r="V5" i="7"/>
  <c r="V8" i="7" s="1"/>
  <c r="O7" i="3"/>
  <c r="O4" i="3" s="1"/>
  <c r="Q6" i="3"/>
  <c r="P5" i="3"/>
  <c r="P8" i="3" s="1"/>
  <c r="B81" i="10" l="1"/>
  <c r="C77" i="9"/>
  <c r="D77" i="9"/>
  <c r="B78" i="9"/>
  <c r="AA12" i="8"/>
  <c r="AA11" i="8"/>
  <c r="Z8" i="8"/>
  <c r="Z4" i="8" s="1"/>
  <c r="Z13" i="8"/>
  <c r="AA5" i="8"/>
  <c r="AA7" i="8" s="1"/>
  <c r="AB6" i="8"/>
  <c r="V13" i="7"/>
  <c r="W12" i="7"/>
  <c r="W11" i="7"/>
  <c r="U4" i="7"/>
  <c r="W5" i="7"/>
  <c r="X6" i="7"/>
  <c r="V7" i="7"/>
  <c r="V4" i="7" s="1"/>
  <c r="P7" i="3"/>
  <c r="P4" i="3" s="1"/>
  <c r="Q5" i="3"/>
  <c r="Q8" i="3" s="1"/>
  <c r="R6" i="3"/>
  <c r="AO6" i="10" l="1"/>
  <c r="AP6" i="10" s="1"/>
  <c r="B82" i="10"/>
  <c r="D78" i="9"/>
  <c r="B79" i="9"/>
  <c r="C78" i="9"/>
  <c r="AB12" i="8"/>
  <c r="AB11" i="8"/>
  <c r="AA8" i="8"/>
  <c r="AA4" i="8" s="1"/>
  <c r="AA13" i="8"/>
  <c r="AB5" i="8"/>
  <c r="AB7" i="8" s="1"/>
  <c r="AC6" i="8"/>
  <c r="W13" i="7"/>
  <c r="X11" i="7"/>
  <c r="X12" i="7"/>
  <c r="W7" i="7"/>
  <c r="W8" i="7"/>
  <c r="W4" i="7" s="1"/>
  <c r="Y6" i="7"/>
  <c r="X5" i="7"/>
  <c r="X7" i="7" s="1"/>
  <c r="Q7" i="3"/>
  <c r="Q4" i="3" s="1"/>
  <c r="S6" i="3"/>
  <c r="R5" i="3"/>
  <c r="R7" i="3" s="1"/>
  <c r="B83" i="10" l="1"/>
  <c r="AO7" i="10"/>
  <c r="AO8" i="10"/>
  <c r="AO9" i="10" s="1"/>
  <c r="C79" i="9"/>
  <c r="D79" i="9"/>
  <c r="B80" i="9"/>
  <c r="AC12" i="8"/>
  <c r="AC11" i="8"/>
  <c r="AB8" i="8"/>
  <c r="AB4" i="8" s="1"/>
  <c r="AB13" i="8"/>
  <c r="AC5" i="8"/>
  <c r="AC7" i="8" s="1"/>
  <c r="AD6" i="8"/>
  <c r="X13" i="7"/>
  <c r="Y12" i="7"/>
  <c r="Y11" i="7"/>
  <c r="X8" i="7"/>
  <c r="X4" i="7" s="1"/>
  <c r="Z6" i="7"/>
  <c r="Y5" i="7"/>
  <c r="R8" i="3"/>
  <c r="R4" i="3" s="1"/>
  <c r="T6" i="3"/>
  <c r="S5" i="3"/>
  <c r="S8" i="3" s="1"/>
  <c r="AP7" i="10" l="1"/>
  <c r="AP8" i="10"/>
  <c r="AP9" i="10" s="1"/>
  <c r="B84" i="10"/>
  <c r="C80" i="9"/>
  <c r="D80" i="9"/>
  <c r="B81" i="9"/>
  <c r="AD12" i="8"/>
  <c r="AD11" i="8"/>
  <c r="AC8" i="8"/>
  <c r="AC4" i="8" s="1"/>
  <c r="AE6" i="8"/>
  <c r="AD5" i="8"/>
  <c r="AD7" i="8" s="1"/>
  <c r="AC13" i="8"/>
  <c r="Y13" i="7"/>
  <c r="Z11" i="7"/>
  <c r="Z12" i="7"/>
  <c r="Y7" i="7"/>
  <c r="Y8" i="7"/>
  <c r="AA6" i="7"/>
  <c r="Z5" i="7"/>
  <c r="Z7" i="7" s="1"/>
  <c r="S7" i="3"/>
  <c r="S4" i="3" s="1"/>
  <c r="U6" i="3"/>
  <c r="T5" i="3"/>
  <c r="T8" i="3" s="1"/>
  <c r="B85" i="10" l="1"/>
  <c r="C81" i="9"/>
  <c r="D81" i="9"/>
  <c r="B82" i="9"/>
  <c r="AE11" i="8"/>
  <c r="AE12" i="8"/>
  <c r="AD8" i="8"/>
  <c r="AD4" i="8" s="1"/>
  <c r="AD13" i="8"/>
  <c r="AF6" i="8"/>
  <c r="AE5" i="8"/>
  <c r="AE7" i="8" s="1"/>
  <c r="Y4" i="7"/>
  <c r="Z13" i="7"/>
  <c r="AA12" i="7"/>
  <c r="AA11" i="7"/>
  <c r="Z8" i="7"/>
  <c r="Z4" i="7" s="1"/>
  <c r="AB6" i="7"/>
  <c r="AA5" i="7"/>
  <c r="AA7" i="7" s="1"/>
  <c r="T7" i="3"/>
  <c r="T4" i="3" s="1"/>
  <c r="V6" i="3"/>
  <c r="U5" i="3"/>
  <c r="U8" i="3" s="1"/>
  <c r="AX6" i="10" l="1"/>
  <c r="AY6" i="10" s="1"/>
  <c r="B86" i="10"/>
  <c r="C82" i="9"/>
  <c r="D82" i="9"/>
  <c r="B83" i="9"/>
  <c r="AE8" i="8"/>
  <c r="AE4" i="8" s="1"/>
  <c r="AF12" i="8"/>
  <c r="AF11" i="8"/>
  <c r="AE13" i="8"/>
  <c r="AG6" i="8"/>
  <c r="AF5" i="8"/>
  <c r="AF8" i="8" s="1"/>
  <c r="AA13" i="7"/>
  <c r="AB12" i="7"/>
  <c r="AB11" i="7"/>
  <c r="AA8" i="7"/>
  <c r="AA4" i="7" s="1"/>
  <c r="AC6" i="7"/>
  <c r="AB5" i="7"/>
  <c r="U7" i="3"/>
  <c r="U4" i="3" s="1"/>
  <c r="W6" i="3"/>
  <c r="V5" i="3"/>
  <c r="V8" i="3" s="1"/>
  <c r="B87" i="10" l="1"/>
  <c r="AX8" i="10"/>
  <c r="AX9" i="10" s="1"/>
  <c r="AX7" i="10"/>
  <c r="B84" i="9"/>
  <c r="C83" i="9"/>
  <c r="D83" i="9"/>
  <c r="AF7" i="8"/>
  <c r="AF4" i="8" s="1"/>
  <c r="AG12" i="8"/>
  <c r="AG11" i="8"/>
  <c r="AH6" i="8"/>
  <c r="AG5" i="8"/>
  <c r="AG7" i="8" s="1"/>
  <c r="AF13" i="8"/>
  <c r="AB13" i="7"/>
  <c r="AC12" i="7"/>
  <c r="AC11" i="7"/>
  <c r="AB7" i="7"/>
  <c r="AB8" i="7"/>
  <c r="AC5" i="7"/>
  <c r="AC8" i="7" s="1"/>
  <c r="AD6" i="7"/>
  <c r="V7" i="3"/>
  <c r="V4" i="3" s="1"/>
  <c r="X6" i="3"/>
  <c r="W5" i="3"/>
  <c r="W8" i="3" s="1"/>
  <c r="AY8" i="10" l="1"/>
  <c r="AY9" i="10" s="1"/>
  <c r="AY7" i="10"/>
  <c r="B88" i="10"/>
  <c r="C84" i="9"/>
  <c r="D84" i="9"/>
  <c r="B85" i="9"/>
  <c r="AG8" i="8"/>
  <c r="AG4" i="8" s="1"/>
  <c r="AH12" i="8"/>
  <c r="AH11" i="8"/>
  <c r="AG13" i="8"/>
  <c r="AI6" i="8"/>
  <c r="AH5" i="8"/>
  <c r="AH7" i="8" s="1"/>
  <c r="AC13" i="7"/>
  <c r="AB4" i="7"/>
  <c r="AD11" i="7"/>
  <c r="AD12" i="7"/>
  <c r="AC7" i="7"/>
  <c r="AC4" i="7" s="1"/>
  <c r="AE6" i="7"/>
  <c r="AD5" i="7"/>
  <c r="AD8" i="7" s="1"/>
  <c r="W7" i="3"/>
  <c r="W4" i="3" s="1"/>
  <c r="Y6" i="3"/>
  <c r="X5" i="3"/>
  <c r="X8" i="3" s="1"/>
  <c r="B89" i="10" l="1"/>
  <c r="C85" i="9"/>
  <c r="D85" i="9"/>
  <c r="B86" i="9"/>
  <c r="AH8" i="8"/>
  <c r="AH4" i="8" s="1"/>
  <c r="AI12" i="8"/>
  <c r="AI11" i="8"/>
  <c r="AH13" i="8"/>
  <c r="AJ6" i="8"/>
  <c r="AI5" i="8"/>
  <c r="AI7" i="8" s="1"/>
  <c r="AD13" i="7"/>
  <c r="AE12" i="7"/>
  <c r="AE11" i="7"/>
  <c r="AD7" i="7"/>
  <c r="AD4" i="7" s="1"/>
  <c r="AF6" i="7"/>
  <c r="AE5" i="7"/>
  <c r="X7" i="3"/>
  <c r="X4" i="3" s="1"/>
  <c r="Y5" i="3"/>
  <c r="Y8" i="3" s="1"/>
  <c r="Z6" i="3"/>
  <c r="BG6" i="10" l="1"/>
  <c r="BH6" i="10" s="1"/>
  <c r="B90" i="10"/>
  <c r="D86" i="9"/>
  <c r="B87" i="9"/>
  <c r="C86" i="9"/>
  <c r="AI8" i="8"/>
  <c r="AI4" i="8" s="1"/>
  <c r="AJ12" i="8"/>
  <c r="AJ11" i="8"/>
  <c r="AI13" i="8"/>
  <c r="AK6" i="8"/>
  <c r="AJ5" i="8"/>
  <c r="AJ8" i="8" s="1"/>
  <c r="AE13" i="7"/>
  <c r="AF11" i="7"/>
  <c r="AF12" i="7"/>
  <c r="AG6" i="7"/>
  <c r="AF5" i="7"/>
  <c r="AE8" i="7"/>
  <c r="AE4" i="7" s="1"/>
  <c r="AE7" i="7"/>
  <c r="Y7" i="3"/>
  <c r="Y4" i="3" s="1"/>
  <c r="AA6" i="3"/>
  <c r="Z5" i="3"/>
  <c r="Z7" i="3" s="1"/>
  <c r="BG8" i="10" l="1"/>
  <c r="BG9" i="10" s="1"/>
  <c r="B91" i="10"/>
  <c r="BG7" i="10"/>
  <c r="C87" i="9"/>
  <c r="D87" i="9"/>
  <c r="B88" i="9"/>
  <c r="AK12" i="8"/>
  <c r="AK11" i="8"/>
  <c r="AJ7" i="8"/>
  <c r="AJ4" i="8" s="1"/>
  <c r="AJ13" i="8"/>
  <c r="AL6" i="8"/>
  <c r="AK5" i="8"/>
  <c r="AK7" i="8" s="1"/>
  <c r="AG11" i="7"/>
  <c r="AG12" i="7"/>
  <c r="AF13" i="7"/>
  <c r="AF7" i="7"/>
  <c r="AG5" i="7"/>
  <c r="AH6" i="7"/>
  <c r="AF8" i="7"/>
  <c r="AF4" i="7" s="1"/>
  <c r="Z8" i="3"/>
  <c r="Z4" i="3" s="1"/>
  <c r="AB6" i="3"/>
  <c r="AA5" i="3"/>
  <c r="AA8" i="3" s="1"/>
  <c r="BH8" i="10" l="1"/>
  <c r="BH9" i="10" s="1"/>
  <c r="BH7" i="10"/>
  <c r="B92" i="10"/>
  <c r="C88" i="9"/>
  <c r="D88" i="9"/>
  <c r="B89" i="9"/>
  <c r="AL12" i="8"/>
  <c r="AL11" i="8"/>
  <c r="AK8" i="8"/>
  <c r="AK4" i="8" s="1"/>
  <c r="AM6" i="8"/>
  <c r="AL5" i="8"/>
  <c r="AL7" i="8" s="1"/>
  <c r="AK13" i="8"/>
  <c r="AG13" i="7"/>
  <c r="AH12" i="7"/>
  <c r="AH11" i="7"/>
  <c r="AG7" i="7"/>
  <c r="AG8" i="7"/>
  <c r="AG4" i="7" s="1"/>
  <c r="AI6" i="7"/>
  <c r="AH5" i="7"/>
  <c r="AA7" i="3"/>
  <c r="AA4" i="3" s="1"/>
  <c r="AC6" i="3"/>
  <c r="AB5" i="3"/>
  <c r="AB8" i="3" s="1"/>
  <c r="B93" i="10" l="1"/>
  <c r="C89" i="9"/>
  <c r="D89" i="9"/>
  <c r="B90" i="9"/>
  <c r="AM11" i="8"/>
  <c r="AM12" i="8"/>
  <c r="AL8" i="8"/>
  <c r="AL4" i="8" s="1"/>
  <c r="AN6" i="8"/>
  <c r="AM5" i="8"/>
  <c r="AM8" i="8" s="1"/>
  <c r="AL13" i="8"/>
  <c r="AH13" i="7"/>
  <c r="AI12" i="7"/>
  <c r="AI11" i="7"/>
  <c r="AH7" i="7"/>
  <c r="AH8" i="7"/>
  <c r="AJ6" i="7"/>
  <c r="AI5" i="7"/>
  <c r="AI7" i="7" s="1"/>
  <c r="AB7" i="3"/>
  <c r="AB4" i="3" s="1"/>
  <c r="AD6" i="3"/>
  <c r="AC5" i="3"/>
  <c r="AC8" i="3" s="1"/>
  <c r="BP6" i="10" l="1"/>
  <c r="BQ6" i="10" s="1"/>
  <c r="B94" i="10"/>
  <c r="C90" i="9"/>
  <c r="D90" i="9"/>
  <c r="B91" i="9"/>
  <c r="AN12" i="8"/>
  <c r="AN11" i="8"/>
  <c r="AM7" i="8"/>
  <c r="AM4" i="8" s="1"/>
  <c r="AM13" i="8"/>
  <c r="AO6" i="8"/>
  <c r="AN5" i="8"/>
  <c r="AN8" i="8" s="1"/>
  <c r="AI13" i="7"/>
  <c r="AJ11" i="7"/>
  <c r="AJ12" i="7"/>
  <c r="AI8" i="7"/>
  <c r="AI4" i="7" s="1"/>
  <c r="AK6" i="7"/>
  <c r="AJ5" i="7"/>
  <c r="AH4" i="7"/>
  <c r="AC7" i="3"/>
  <c r="AC4" i="3" s="1"/>
  <c r="AE6" i="3"/>
  <c r="AD5" i="3"/>
  <c r="AD8" i="3" s="1"/>
  <c r="AN7" i="8" l="1"/>
  <c r="AN4" i="8" s="1"/>
  <c r="B95" i="10"/>
  <c r="BP7" i="10"/>
  <c r="BP8" i="10"/>
  <c r="BP9" i="10" s="1"/>
  <c r="B92" i="9"/>
  <c r="C91" i="9"/>
  <c r="D91" i="9"/>
  <c r="AO12" i="8"/>
  <c r="AO11" i="8"/>
  <c r="AO8" i="8"/>
  <c r="AN13" i="8"/>
  <c r="AO5" i="8"/>
  <c r="AO7" i="8" s="1"/>
  <c r="AP6" i="8"/>
  <c r="AJ13" i="7"/>
  <c r="AK12" i="7"/>
  <c r="AK11" i="7"/>
  <c r="AJ8" i="7"/>
  <c r="AJ7" i="7"/>
  <c r="AL6" i="7"/>
  <c r="AK5" i="7"/>
  <c r="AK8" i="7" s="1"/>
  <c r="AD7" i="3"/>
  <c r="AD4" i="3" s="1"/>
  <c r="AF6" i="3"/>
  <c r="AE5" i="3"/>
  <c r="AE8" i="3" s="1"/>
  <c r="BQ7" i="10" l="1"/>
  <c r="BQ8" i="10"/>
  <c r="BQ9" i="10" s="1"/>
  <c r="B96" i="10"/>
  <c r="C92" i="9"/>
  <c r="D92" i="9"/>
  <c r="B93" i="9"/>
  <c r="AP11" i="8"/>
  <c r="AP12" i="8"/>
  <c r="AO4" i="8"/>
  <c r="AO13" i="8"/>
  <c r="AQ6" i="8"/>
  <c r="AP5" i="8"/>
  <c r="AP8" i="8" s="1"/>
  <c r="AK13" i="7"/>
  <c r="AL11" i="7"/>
  <c r="AL12" i="7"/>
  <c r="AJ4" i="7"/>
  <c r="AM6" i="7"/>
  <c r="AL5" i="7"/>
  <c r="AL8" i="7" s="1"/>
  <c r="AK7" i="7"/>
  <c r="AK4" i="7" s="1"/>
  <c r="AE7" i="3"/>
  <c r="AE4" i="3" s="1"/>
  <c r="AG6" i="3"/>
  <c r="AF5" i="3"/>
  <c r="AF8" i="3" s="1"/>
  <c r="B97" i="10" l="1"/>
  <c r="C93" i="9"/>
  <c r="D93" i="9"/>
  <c r="B94" i="9"/>
  <c r="AQ12" i="8"/>
  <c r="AQ11" i="8"/>
  <c r="AP7" i="8"/>
  <c r="AP4" i="8" s="1"/>
  <c r="AP13" i="8"/>
  <c r="AR6" i="8"/>
  <c r="AQ5" i="8"/>
  <c r="AQ7" i="8" s="1"/>
  <c r="AL13" i="7"/>
  <c r="AM12" i="7"/>
  <c r="AM11" i="7"/>
  <c r="AL7" i="7"/>
  <c r="AL4" i="7" s="1"/>
  <c r="AN6" i="7"/>
  <c r="AM5" i="7"/>
  <c r="AF7" i="3"/>
  <c r="AF4" i="3" s="1"/>
  <c r="AG5" i="3"/>
  <c r="AG8" i="3" s="1"/>
  <c r="AH6" i="3"/>
  <c r="BY6" i="10" l="1"/>
  <c r="BZ6" i="10" s="1"/>
  <c r="B98" i="10"/>
  <c r="D94" i="9"/>
  <c r="B95" i="9"/>
  <c r="C94" i="9"/>
  <c r="AR12" i="8"/>
  <c r="AR11" i="8"/>
  <c r="AQ8" i="8"/>
  <c r="AQ4" i="8" s="1"/>
  <c r="AQ13" i="8"/>
  <c r="AS6" i="8"/>
  <c r="AR5" i="8"/>
  <c r="AR8" i="8" s="1"/>
  <c r="AM13" i="7"/>
  <c r="AN11" i="7"/>
  <c r="AN12" i="7"/>
  <c r="AM7" i="7"/>
  <c r="AM8" i="7"/>
  <c r="AM4" i="7" s="1"/>
  <c r="AO6" i="7"/>
  <c r="AN5" i="7"/>
  <c r="AN7" i="7" s="1"/>
  <c r="AG7" i="3"/>
  <c r="AG4" i="3" s="1"/>
  <c r="AI6" i="3"/>
  <c r="AH5" i="3"/>
  <c r="AH7" i="3" s="1"/>
  <c r="BY7" i="10" l="1"/>
  <c r="BY8" i="10"/>
  <c r="BY9" i="10" s="1"/>
  <c r="B99" i="10"/>
  <c r="C95" i="9"/>
  <c r="D95" i="9"/>
  <c r="B96" i="9"/>
  <c r="AS12" i="8"/>
  <c r="AS11" i="8"/>
  <c r="AR7" i="8"/>
  <c r="AR4" i="8" s="1"/>
  <c r="AR13" i="8"/>
  <c r="AT6" i="8"/>
  <c r="AS5" i="8"/>
  <c r="AS8" i="8" s="1"/>
  <c r="AN13" i="7"/>
  <c r="AO11" i="7"/>
  <c r="AO12" i="7"/>
  <c r="AN8" i="7"/>
  <c r="AN4" i="7" s="1"/>
  <c r="AP6" i="7"/>
  <c r="AO5" i="7"/>
  <c r="AO8" i="7" s="1"/>
  <c r="AH8" i="3"/>
  <c r="AH4" i="3" s="1"/>
  <c r="AJ6" i="3"/>
  <c r="AI5" i="3"/>
  <c r="AI8" i="3" s="1"/>
  <c r="BZ7" i="10" l="1"/>
  <c r="BZ8" i="10"/>
  <c r="BZ9" i="10" s="1"/>
  <c r="B100" i="10"/>
  <c r="C96" i="9"/>
  <c r="D96" i="9"/>
  <c r="B97" i="9"/>
  <c r="AS7" i="8"/>
  <c r="AS4" i="8" s="1"/>
  <c r="AT12" i="8"/>
  <c r="AT11" i="8"/>
  <c r="AS13" i="8"/>
  <c r="AT5" i="8"/>
  <c r="AT7" i="8" s="1"/>
  <c r="AO13" i="7"/>
  <c r="AP12" i="7"/>
  <c r="AP11" i="7"/>
  <c r="AO7" i="7"/>
  <c r="AO4" i="7" s="1"/>
  <c r="AP5" i="7"/>
  <c r="AQ6" i="7"/>
  <c r="AI7" i="3"/>
  <c r="AI4" i="3" s="1"/>
  <c r="AK6" i="3"/>
  <c r="AJ5" i="3"/>
  <c r="AJ8" i="3" s="1"/>
  <c r="B101" i="10" l="1"/>
  <c r="C97" i="9"/>
  <c r="D97" i="9"/>
  <c r="B98" i="9"/>
  <c r="AT8" i="8"/>
  <c r="AT13" i="8"/>
  <c r="AP13" i="7"/>
  <c r="AQ12" i="7"/>
  <c r="AQ11" i="7"/>
  <c r="AP7" i="7"/>
  <c r="AR6" i="7"/>
  <c r="AQ5" i="7"/>
  <c r="AP8" i="7"/>
  <c r="AP4" i="7" s="1"/>
  <c r="AJ7" i="3"/>
  <c r="AJ4" i="3" s="1"/>
  <c r="AL6" i="3"/>
  <c r="AK5" i="3"/>
  <c r="AK8" i="3" s="1"/>
  <c r="CH6" i="10" l="1"/>
  <c r="CI6" i="10" s="1"/>
  <c r="B102" i="10"/>
  <c r="C98" i="9"/>
  <c r="D98" i="9"/>
  <c r="B99" i="9"/>
  <c r="AT4" i="8"/>
  <c r="AQ13" i="7"/>
  <c r="AR11" i="7"/>
  <c r="AR12" i="7"/>
  <c r="AQ7" i="7"/>
  <c r="AQ8" i="7"/>
  <c r="AR5" i="7"/>
  <c r="AK7" i="3"/>
  <c r="AK4" i="3" s="1"/>
  <c r="AM6" i="3"/>
  <c r="AL5" i="3"/>
  <c r="AL8" i="3" s="1"/>
  <c r="CH7" i="10" l="1"/>
  <c r="CH8" i="10"/>
  <c r="CH9" i="10" s="1"/>
  <c r="B103" i="10"/>
  <c r="B100" i="9"/>
  <c r="C99" i="9"/>
  <c r="D99" i="9"/>
  <c r="AR13" i="7"/>
  <c r="AR7" i="7"/>
  <c r="AR8" i="7"/>
  <c r="AQ4" i="7"/>
  <c r="AL7" i="3"/>
  <c r="AL4" i="3" s="1"/>
  <c r="AN6" i="3"/>
  <c r="AM5" i="3"/>
  <c r="AM8" i="3" s="1"/>
  <c r="CI7" i="10" l="1"/>
  <c r="B104" i="10"/>
  <c r="CI8" i="10"/>
  <c r="CI9" i="10" s="1"/>
  <c r="C100" i="9"/>
  <c r="D100" i="9"/>
  <c r="B101" i="9"/>
  <c r="AR4" i="7"/>
  <c r="AM7" i="3"/>
  <c r="AM4" i="3" s="1"/>
  <c r="AO6" i="3"/>
  <c r="AN5" i="3"/>
  <c r="AN8" i="3" s="1"/>
  <c r="B105" i="10" l="1"/>
  <c r="C101" i="9"/>
  <c r="D101" i="9"/>
  <c r="B102" i="9"/>
  <c r="AN7" i="3"/>
  <c r="AN4" i="3" s="1"/>
  <c r="AO5" i="3"/>
  <c r="AO8" i="3" s="1"/>
  <c r="CQ6" i="10" l="1"/>
  <c r="CR6" i="10" s="1"/>
  <c r="B106" i="10"/>
  <c r="D102" i="9"/>
  <c r="B103" i="9"/>
  <c r="C102" i="9"/>
  <c r="AO7" i="3"/>
  <c r="AO4" i="3" s="1"/>
  <c r="CQ7" i="10" l="1"/>
  <c r="B107" i="10"/>
  <c r="CQ8" i="10"/>
  <c r="CQ9" i="10" s="1"/>
  <c r="C103" i="9"/>
  <c r="D103" i="9"/>
  <c r="B104" i="9"/>
  <c r="CR8" i="10" l="1"/>
  <c r="CR9" i="10" s="1"/>
  <c r="B108" i="10"/>
  <c r="CR7" i="10"/>
  <c r="C104" i="9"/>
  <c r="D104" i="9"/>
  <c r="B105" i="9"/>
  <c r="B109" i="10" l="1"/>
  <c r="C105" i="9"/>
  <c r="D105" i="9"/>
  <c r="B106" i="9"/>
  <c r="CZ6" i="10" l="1"/>
  <c r="DA6" i="10" s="1"/>
  <c r="B110" i="10"/>
  <c r="C106" i="9"/>
  <c r="D106" i="9"/>
  <c r="B107" i="9"/>
  <c r="CZ7" i="10" l="1"/>
  <c r="B111" i="10"/>
  <c r="CZ8" i="10"/>
  <c r="CZ9" i="10" s="1"/>
  <c r="B108" i="9"/>
  <c r="C107" i="9"/>
  <c r="D107" i="9"/>
  <c r="B112" i="10" l="1"/>
  <c r="DA7" i="10"/>
  <c r="DA8" i="10"/>
  <c r="DA9" i="10" s="1"/>
  <c r="C108" i="9"/>
  <c r="D108" i="9"/>
  <c r="B109" i="9"/>
  <c r="B113" i="10" l="1"/>
  <c r="C109" i="9"/>
  <c r="D109" i="9"/>
  <c r="B110" i="9"/>
  <c r="DI6" i="10" l="1"/>
  <c r="DJ6" i="10" s="1"/>
  <c r="B114" i="10"/>
  <c r="D110" i="9"/>
  <c r="B111" i="9"/>
  <c r="C110" i="9"/>
  <c r="DI7" i="10" l="1"/>
  <c r="DI8" i="10"/>
  <c r="DI9" i="10" s="1"/>
  <c r="B115" i="10"/>
  <c r="C111" i="9"/>
  <c r="D111" i="9"/>
  <c r="B112" i="9"/>
  <c r="DJ8" i="10" l="1"/>
  <c r="DJ9" i="10" s="1"/>
  <c r="B116" i="10"/>
  <c r="DJ7" i="10"/>
  <c r="C112" i="9"/>
  <c r="D112" i="9"/>
  <c r="B113" i="9"/>
  <c r="B117" i="10" l="1"/>
  <c r="C113" i="9"/>
  <c r="D113" i="9"/>
  <c r="B114" i="9"/>
  <c r="B118" i="10" l="1"/>
  <c r="DR6" i="10"/>
  <c r="C114" i="9"/>
  <c r="D114" i="9"/>
  <c r="B115" i="9"/>
  <c r="B119" i="10" l="1"/>
  <c r="DR8" i="10"/>
  <c r="DS6" i="10"/>
  <c r="DR7" i="10"/>
  <c r="B116" i="9"/>
  <c r="C115" i="9"/>
  <c r="D115" i="9"/>
  <c r="DS7" i="10" l="1"/>
  <c r="DR10" i="10"/>
  <c r="C118" i="10" s="1"/>
  <c r="DR9" i="10"/>
  <c r="C65" i="10"/>
  <c r="C66" i="10"/>
  <c r="C67" i="10"/>
  <c r="C68" i="10"/>
  <c r="C69" i="10"/>
  <c r="C71" i="10"/>
  <c r="C72" i="10"/>
  <c r="C73" i="10"/>
  <c r="C74" i="10"/>
  <c r="C75" i="10"/>
  <c r="C76" i="10"/>
  <c r="C77" i="10"/>
  <c r="C79" i="10"/>
  <c r="C80" i="10"/>
  <c r="C81" i="10"/>
  <c r="C82" i="10"/>
  <c r="C83" i="10"/>
  <c r="C84" i="10"/>
  <c r="C85" i="10"/>
  <c r="C87" i="10"/>
  <c r="C88" i="10"/>
  <c r="C89" i="10"/>
  <c r="C90" i="10"/>
  <c r="C91" i="10"/>
  <c r="C92" i="10"/>
  <c r="C93" i="10"/>
  <c r="C95" i="10"/>
  <c r="C96" i="10"/>
  <c r="C97" i="10"/>
  <c r="C98" i="10"/>
  <c r="C99" i="10"/>
  <c r="C100" i="10"/>
  <c r="C101" i="10"/>
  <c r="C103" i="10"/>
  <c r="C104" i="10"/>
  <c r="C105" i="10"/>
  <c r="C106" i="10"/>
  <c r="C107" i="10"/>
  <c r="C108" i="10"/>
  <c r="C109" i="10"/>
  <c r="C111" i="10"/>
  <c r="C112" i="10"/>
  <c r="C113" i="10"/>
  <c r="C114" i="10"/>
  <c r="C115" i="10"/>
  <c r="C116" i="10"/>
  <c r="C117" i="10"/>
  <c r="B120" i="10"/>
  <c r="C119" i="10"/>
  <c r="DS8" i="10"/>
  <c r="C116" i="9"/>
  <c r="D116" i="9"/>
  <c r="B117" i="9"/>
  <c r="DS10" i="10" l="1"/>
  <c r="DS9" i="10"/>
  <c r="B121" i="10"/>
  <c r="C120" i="10"/>
  <c r="C110" i="10"/>
  <c r="C102" i="10"/>
  <c r="C94" i="10"/>
  <c r="C86" i="10"/>
  <c r="C78" i="10"/>
  <c r="C70" i="10"/>
  <c r="C117" i="9"/>
  <c r="D117" i="9"/>
  <c r="B118" i="9"/>
  <c r="C121" i="10" l="1"/>
  <c r="B122" i="10"/>
  <c r="D121" i="10"/>
  <c r="D70" i="10"/>
  <c r="D78" i="10"/>
  <c r="D86" i="10"/>
  <c r="D94" i="10"/>
  <c r="D102" i="10"/>
  <c r="D110" i="10"/>
  <c r="D87" i="10"/>
  <c r="D111" i="10"/>
  <c r="D118" i="10"/>
  <c r="D119" i="10"/>
  <c r="D80" i="10"/>
  <c r="D88" i="10"/>
  <c r="D104" i="10"/>
  <c r="D112" i="10"/>
  <c r="D81" i="10"/>
  <c r="D89" i="10"/>
  <c r="D113" i="10"/>
  <c r="D67" i="10"/>
  <c r="D90" i="10"/>
  <c r="D114" i="10"/>
  <c r="D66" i="10"/>
  <c r="D99" i="10"/>
  <c r="D71" i="10"/>
  <c r="D79" i="10"/>
  <c r="D95" i="10"/>
  <c r="D103" i="10"/>
  <c r="D65" i="10"/>
  <c r="D105" i="10"/>
  <c r="D82" i="10"/>
  <c r="D106" i="10"/>
  <c r="D107" i="10"/>
  <c r="D76" i="10"/>
  <c r="D92" i="10"/>
  <c r="D72" i="10"/>
  <c r="D96" i="10"/>
  <c r="D116" i="10"/>
  <c r="D73" i="10"/>
  <c r="D97" i="10"/>
  <c r="D83" i="10"/>
  <c r="D74" i="10"/>
  <c r="D98" i="10"/>
  <c r="D68" i="10"/>
  <c r="D100" i="10"/>
  <c r="D75" i="10"/>
  <c r="D91" i="10"/>
  <c r="D115" i="10"/>
  <c r="D84" i="10"/>
  <c r="D69" i="10"/>
  <c r="D77" i="10"/>
  <c r="D85" i="10"/>
  <c r="D93" i="10"/>
  <c r="D101" i="10"/>
  <c r="D109" i="10"/>
  <c r="D117" i="10"/>
  <c r="D108" i="10"/>
  <c r="D120" i="10"/>
  <c r="D118" i="9"/>
  <c r="B119" i="9"/>
  <c r="C118" i="9"/>
  <c r="D122" i="10" l="1"/>
  <c r="B123" i="10"/>
  <c r="C122" i="10"/>
  <c r="C119" i="9"/>
  <c r="D119" i="9"/>
  <c r="B120" i="9"/>
  <c r="B124" i="10" l="1"/>
  <c r="D123" i="10"/>
  <c r="C123" i="10"/>
  <c r="C120" i="9"/>
  <c r="D120" i="9"/>
  <c r="B121" i="9"/>
  <c r="D124" i="10" l="1"/>
  <c r="B125" i="10"/>
  <c r="C124" i="10"/>
  <c r="C121" i="9"/>
  <c r="D121" i="9"/>
  <c r="B122" i="9"/>
  <c r="C125" i="10" l="1"/>
  <c r="B126" i="10"/>
  <c r="D125" i="10"/>
  <c r="C122" i="9"/>
  <c r="D122" i="9"/>
  <c r="B123" i="9"/>
  <c r="D126" i="10" l="1"/>
  <c r="C126" i="10"/>
  <c r="B127" i="10"/>
  <c r="B124" i="9"/>
  <c r="C123" i="9"/>
  <c r="D123" i="9"/>
  <c r="B128" i="10" l="1"/>
  <c r="D127" i="10"/>
  <c r="C127" i="10"/>
  <c r="C124" i="9"/>
  <c r="D124" i="9"/>
  <c r="B125" i="9"/>
  <c r="C128" i="10" l="1"/>
  <c r="D128" i="10"/>
  <c r="B129" i="10"/>
  <c r="C125" i="9"/>
  <c r="D125" i="9"/>
  <c r="B126" i="9"/>
  <c r="C129" i="10" l="1"/>
  <c r="B130" i="10"/>
  <c r="D129" i="10"/>
  <c r="D126" i="9"/>
  <c r="B127" i="9"/>
  <c r="C126" i="9"/>
  <c r="D130" i="10" l="1"/>
  <c r="B131" i="10"/>
  <c r="C130" i="10"/>
  <c r="C127" i="9"/>
  <c r="D127" i="9"/>
  <c r="B128" i="9"/>
  <c r="B132" i="10" l="1"/>
  <c r="D131" i="10"/>
  <c r="C131" i="10"/>
  <c r="C128" i="9"/>
  <c r="D128" i="9"/>
  <c r="B129" i="9"/>
  <c r="B133" i="10" l="1"/>
  <c r="D132" i="10"/>
  <c r="C132" i="10"/>
  <c r="C129" i="9"/>
  <c r="D129" i="9"/>
  <c r="B130" i="9"/>
  <c r="C133" i="10" l="1"/>
  <c r="D133" i="10"/>
  <c r="B134" i="10"/>
  <c r="C130" i="9"/>
  <c r="D130" i="9"/>
  <c r="B131" i="9"/>
  <c r="D134" i="10" l="1"/>
  <c r="B135" i="10"/>
  <c r="C134" i="10"/>
  <c r="B132" i="9"/>
  <c r="C131" i="9"/>
  <c r="D131" i="9"/>
  <c r="B136" i="10" l="1"/>
  <c r="C135" i="10"/>
  <c r="D135" i="10"/>
  <c r="C132" i="9"/>
  <c r="D132" i="9"/>
  <c r="B133" i="9"/>
  <c r="B137" i="10" l="1"/>
  <c r="D136" i="10"/>
  <c r="C136" i="10"/>
  <c r="C133" i="9"/>
  <c r="D133" i="9"/>
  <c r="B134" i="9"/>
  <c r="C137" i="10" l="1"/>
  <c r="B138" i="10"/>
  <c r="D137" i="10"/>
  <c r="D134" i="9"/>
  <c r="B135" i="9"/>
  <c r="C134" i="9"/>
  <c r="D138" i="10" l="1"/>
  <c r="B139" i="10"/>
  <c r="C138" i="10"/>
  <c r="C135" i="9"/>
  <c r="D135" i="9"/>
  <c r="B136" i="9"/>
  <c r="B140" i="10" l="1"/>
  <c r="D139" i="10"/>
  <c r="C139" i="10"/>
  <c r="C136" i="9"/>
  <c r="D136" i="9"/>
  <c r="B137" i="9"/>
  <c r="D140" i="10" l="1"/>
  <c r="B141" i="10"/>
  <c r="C140" i="10"/>
  <c r="C137" i="9"/>
  <c r="D137" i="9"/>
  <c r="B138" i="9"/>
  <c r="C141" i="10" l="1"/>
  <c r="B142" i="10"/>
  <c r="D141" i="10"/>
  <c r="C138" i="9"/>
  <c r="D138" i="9"/>
  <c r="B139" i="9"/>
  <c r="D142" i="10" l="1"/>
  <c r="C142" i="10"/>
  <c r="B143" i="10"/>
  <c r="B140" i="9"/>
  <c r="C139" i="9"/>
  <c r="D139" i="9"/>
  <c r="B144" i="10" l="1"/>
  <c r="D143" i="10"/>
  <c r="C143" i="10"/>
  <c r="C140" i="9"/>
  <c r="B141" i="9"/>
  <c r="D140" i="9"/>
  <c r="C144" i="10" l="1"/>
  <c r="B145" i="10"/>
  <c r="D144" i="10"/>
  <c r="C141" i="9"/>
  <c r="D141" i="9"/>
  <c r="B142" i="9"/>
  <c r="C145" i="10" l="1"/>
  <c r="B146" i="10"/>
  <c r="D145" i="10"/>
  <c r="D142" i="9"/>
  <c r="B143" i="9"/>
  <c r="C142" i="9"/>
  <c r="D146" i="10" l="1"/>
  <c r="B147" i="10"/>
  <c r="C146" i="10"/>
  <c r="D143" i="9"/>
  <c r="B144" i="9"/>
  <c r="C143" i="9"/>
  <c r="B148" i="10" l="1"/>
  <c r="D147" i="10"/>
  <c r="C147" i="10"/>
  <c r="C144" i="9"/>
  <c r="B145" i="9"/>
  <c r="D144" i="9"/>
  <c r="B149" i="10" l="1"/>
  <c r="D148" i="10"/>
  <c r="C148" i="10"/>
  <c r="C145" i="9"/>
  <c r="D145" i="9"/>
  <c r="B146" i="9"/>
  <c r="C149" i="10" l="1"/>
  <c r="D149" i="10"/>
  <c r="B150" i="10"/>
  <c r="C146" i="9"/>
  <c r="D146" i="9"/>
  <c r="B147" i="9"/>
  <c r="D150" i="10" l="1"/>
  <c r="B151" i="10"/>
  <c r="C150" i="10"/>
  <c r="B148" i="9"/>
  <c r="D147" i="9"/>
  <c r="C147" i="9"/>
  <c r="B152" i="10" l="1"/>
  <c r="C151" i="10"/>
  <c r="D151" i="10"/>
  <c r="C148" i="9"/>
  <c r="B149" i="9"/>
  <c r="D148" i="9"/>
  <c r="B153" i="10" l="1"/>
  <c r="C152" i="10"/>
  <c r="D152" i="10"/>
  <c r="C149" i="9"/>
  <c r="D149" i="9"/>
  <c r="B150" i="9"/>
  <c r="C153" i="10" l="1"/>
  <c r="B154" i="10"/>
  <c r="D153" i="10"/>
  <c r="D150" i="9"/>
  <c r="B151" i="9"/>
  <c r="C150" i="9"/>
  <c r="D154" i="10" l="1"/>
  <c r="B155" i="10"/>
  <c r="C154" i="10"/>
  <c r="D151" i="9"/>
  <c r="B152" i="9"/>
  <c r="C151" i="9"/>
  <c r="B156" i="10" l="1"/>
  <c r="D155" i="10"/>
  <c r="C155" i="10"/>
  <c r="C152" i="9"/>
  <c r="B153" i="9"/>
  <c r="D152" i="9"/>
  <c r="D156" i="10" l="1"/>
  <c r="B157" i="10"/>
  <c r="C156" i="10"/>
  <c r="C153" i="9"/>
  <c r="D153" i="9"/>
  <c r="B154" i="9"/>
  <c r="C157" i="10" l="1"/>
  <c r="B158" i="10"/>
  <c r="D157" i="10"/>
  <c r="C154" i="9"/>
  <c r="D154" i="9"/>
  <c r="B155" i="9"/>
  <c r="D158" i="10" l="1"/>
  <c r="C158" i="10"/>
  <c r="B159" i="10"/>
  <c r="B156" i="9"/>
  <c r="D155" i="9"/>
  <c r="C155" i="9"/>
  <c r="B160" i="10" l="1"/>
  <c r="D159" i="10"/>
  <c r="C159" i="10"/>
  <c r="C156" i="9"/>
  <c r="B157" i="9"/>
  <c r="D156" i="9"/>
  <c r="C160" i="10" l="1"/>
  <c r="B161" i="10"/>
  <c r="D160" i="10"/>
  <c r="C157" i="9"/>
  <c r="D157" i="9"/>
  <c r="B158" i="9"/>
  <c r="C161" i="10" l="1"/>
  <c r="B162" i="10"/>
  <c r="D161" i="10"/>
  <c r="D158" i="9"/>
  <c r="B159" i="9"/>
  <c r="C158" i="9"/>
  <c r="D162" i="10" l="1"/>
  <c r="B163" i="10"/>
  <c r="C162" i="10"/>
  <c r="D159" i="9"/>
  <c r="B160" i="9"/>
  <c r="C159" i="9"/>
  <c r="B164" i="10" l="1"/>
  <c r="C163" i="10"/>
  <c r="D163" i="10"/>
  <c r="C160" i="9"/>
  <c r="B161" i="9"/>
  <c r="D160" i="9"/>
  <c r="C164" i="10" l="1"/>
  <c r="B165" i="10"/>
  <c r="D164" i="10"/>
  <c r="C161" i="9"/>
  <c r="D161" i="9"/>
  <c r="B162" i="9"/>
  <c r="D165" i="10" l="1"/>
  <c r="B166" i="10"/>
  <c r="C165" i="10"/>
  <c r="C162" i="9"/>
  <c r="D162" i="9"/>
  <c r="B163" i="9"/>
  <c r="B167" i="10" l="1"/>
  <c r="D166" i="10"/>
  <c r="C166" i="10"/>
  <c r="B164" i="9"/>
  <c r="D163" i="9"/>
  <c r="C163" i="9"/>
  <c r="C167" i="10" l="1"/>
  <c r="D167" i="10"/>
  <c r="B168" i="10"/>
  <c r="C164" i="9"/>
  <c r="B165" i="9"/>
  <c r="D164" i="9"/>
  <c r="B169" i="10" l="1"/>
  <c r="C168" i="10"/>
  <c r="D168" i="10"/>
  <c r="C165" i="9"/>
  <c r="D165" i="9"/>
  <c r="B166" i="9"/>
  <c r="D169" i="10" l="1"/>
  <c r="C169" i="10"/>
  <c r="B170" i="10"/>
  <c r="D166" i="9"/>
  <c r="B167" i="9"/>
  <c r="C166" i="9"/>
  <c r="B171" i="10" l="1"/>
  <c r="D170" i="10"/>
  <c r="C170" i="10"/>
  <c r="D167" i="9"/>
  <c r="B168" i="9"/>
  <c r="C167" i="9"/>
  <c r="D171" i="10" l="1"/>
  <c r="C171" i="10"/>
  <c r="B172" i="10"/>
  <c r="C168" i="9"/>
  <c r="B169" i="9"/>
  <c r="D168" i="9"/>
  <c r="C172" i="10" l="1"/>
  <c r="B173" i="10"/>
  <c r="D172" i="10"/>
  <c r="C169" i="9"/>
  <c r="D169" i="9"/>
  <c r="B170" i="9"/>
  <c r="D173" i="10" l="1"/>
  <c r="C173" i="10"/>
  <c r="B174" i="10"/>
  <c r="C170" i="9"/>
  <c r="D170" i="9"/>
  <c r="B171" i="9"/>
  <c r="C174" i="10" l="1"/>
  <c r="B175" i="10"/>
  <c r="D174" i="10"/>
  <c r="B172" i="9"/>
  <c r="D171" i="9"/>
  <c r="C171" i="9"/>
  <c r="D175" i="10" l="1"/>
  <c r="B176" i="10"/>
  <c r="C175" i="10"/>
  <c r="C172" i="9"/>
  <c r="B173" i="9"/>
  <c r="D172" i="9"/>
  <c r="B177" i="10" l="1"/>
  <c r="C176" i="10"/>
  <c r="D176" i="10"/>
  <c r="C173" i="9"/>
  <c r="D173" i="9"/>
  <c r="B174" i="9"/>
  <c r="D177" i="10" l="1"/>
  <c r="B178" i="10"/>
  <c r="C177" i="10"/>
  <c r="D174" i="9"/>
  <c r="B175" i="9"/>
  <c r="C174" i="9"/>
  <c r="B179" i="10" l="1"/>
  <c r="D178" i="10"/>
  <c r="C178" i="10"/>
  <c r="D175" i="9"/>
  <c r="B176" i="9"/>
  <c r="C175" i="9"/>
  <c r="D179" i="10" l="1"/>
  <c r="B180" i="10"/>
  <c r="C179" i="10"/>
  <c r="C176" i="9"/>
  <c r="B177" i="9"/>
  <c r="D176" i="9"/>
  <c r="C180" i="10" l="1"/>
  <c r="B181" i="10"/>
  <c r="D180" i="10"/>
  <c r="C177" i="9"/>
  <c r="D177" i="9"/>
  <c r="B178" i="9"/>
  <c r="D181" i="10" l="1"/>
  <c r="B182" i="10"/>
  <c r="C181" i="10"/>
  <c r="C178" i="9"/>
  <c r="D178" i="9"/>
  <c r="B179" i="9"/>
  <c r="C182" i="10" l="1"/>
  <c r="B183" i="10"/>
  <c r="D182" i="10"/>
  <c r="B180" i="9"/>
  <c r="D179" i="9"/>
  <c r="C179" i="9"/>
  <c r="B184" i="10" l="1"/>
  <c r="D183" i="10"/>
  <c r="C183" i="10"/>
  <c r="C180" i="9"/>
  <c r="B181" i="9"/>
  <c r="D180" i="9"/>
  <c r="B185" i="10" l="1"/>
  <c r="C184" i="10"/>
  <c r="D184" i="10"/>
  <c r="C181" i="9"/>
  <c r="D181" i="9"/>
  <c r="B182" i="9"/>
  <c r="D185" i="10" l="1"/>
  <c r="C185" i="10"/>
  <c r="B186" i="10"/>
  <c r="D182" i="9"/>
  <c r="B183" i="9"/>
  <c r="C182" i="9"/>
  <c r="B187" i="10" l="1"/>
  <c r="C186" i="10"/>
  <c r="D186" i="10"/>
  <c r="D183" i="9"/>
  <c r="B184" i="9"/>
  <c r="C183" i="9"/>
  <c r="D187" i="10" l="1"/>
  <c r="B188" i="10"/>
  <c r="C187" i="10"/>
  <c r="C184" i="9"/>
  <c r="B185" i="9"/>
  <c r="D184" i="9"/>
  <c r="C188" i="10" l="1"/>
  <c r="D188" i="10"/>
  <c r="B189" i="10"/>
  <c r="C185" i="9"/>
  <c r="D185" i="9"/>
  <c r="B186" i="9"/>
  <c r="D189" i="10" l="1"/>
  <c r="B190" i="10"/>
  <c r="C189" i="10"/>
  <c r="C186" i="9"/>
  <c r="D186" i="9"/>
  <c r="B187" i="9"/>
  <c r="C190" i="10" l="1"/>
  <c r="B191" i="10"/>
  <c r="D190" i="10"/>
  <c r="B188" i="9"/>
  <c r="D187" i="9"/>
  <c r="C187" i="9"/>
  <c r="C191" i="10" l="1"/>
  <c r="B192" i="10"/>
  <c r="D191" i="10"/>
  <c r="C188" i="9"/>
  <c r="B189" i="9"/>
  <c r="D188" i="9"/>
  <c r="B193" i="10" l="1"/>
  <c r="C192" i="10"/>
  <c r="D192" i="10"/>
  <c r="C189" i="9"/>
  <c r="D189" i="9"/>
  <c r="B190" i="9"/>
  <c r="D193" i="10" l="1"/>
  <c r="B194" i="10"/>
  <c r="C193" i="10"/>
  <c r="D190" i="9"/>
  <c r="B191" i="9"/>
  <c r="C190" i="9"/>
  <c r="B195" i="10" l="1"/>
  <c r="D194" i="10"/>
  <c r="C194" i="10"/>
  <c r="D191" i="9"/>
  <c r="B192" i="9"/>
  <c r="C191" i="9"/>
  <c r="D195" i="10" l="1"/>
  <c r="C195" i="10"/>
  <c r="B196" i="10"/>
  <c r="C192" i="9"/>
  <c r="B193" i="9"/>
  <c r="D192" i="9"/>
  <c r="C196" i="10" l="1"/>
  <c r="D196" i="10"/>
  <c r="B197" i="10"/>
  <c r="C193" i="9"/>
  <c r="D193" i="9"/>
  <c r="B194" i="9"/>
  <c r="D197" i="10" l="1"/>
  <c r="C197" i="10"/>
  <c r="B198" i="10"/>
  <c r="C194" i="9"/>
  <c r="D194" i="9"/>
  <c r="B195" i="9"/>
  <c r="C198" i="10" l="1"/>
  <c r="B199" i="10"/>
  <c r="D198" i="10"/>
  <c r="B196" i="9"/>
  <c r="D195" i="9"/>
  <c r="C195" i="9"/>
  <c r="B200" i="10" l="1"/>
  <c r="D199" i="10"/>
  <c r="C199" i="10"/>
  <c r="C196" i="9"/>
  <c r="B197" i="9"/>
  <c r="D196" i="9"/>
  <c r="B201" i="10" l="1"/>
  <c r="C200" i="10"/>
  <c r="D200" i="10"/>
  <c r="C197" i="9"/>
  <c r="D197" i="9"/>
  <c r="B198" i="9"/>
  <c r="D201" i="10" l="1"/>
  <c r="C201" i="10"/>
  <c r="B202" i="10"/>
  <c r="D198" i="9"/>
  <c r="B199" i="9"/>
  <c r="C198" i="9"/>
  <c r="B203" i="10" l="1"/>
  <c r="D202" i="10"/>
  <c r="C202" i="10"/>
  <c r="D199" i="9"/>
  <c r="B200" i="9"/>
  <c r="C199" i="9"/>
  <c r="D203" i="10" l="1"/>
  <c r="C203" i="10"/>
  <c r="B204" i="10"/>
  <c r="C200" i="9"/>
  <c r="B201" i="9"/>
  <c r="D200" i="9"/>
  <c r="C204" i="10" l="1"/>
  <c r="D204" i="10"/>
  <c r="B205" i="10"/>
  <c r="C201" i="9"/>
  <c r="D201" i="9"/>
  <c r="B202" i="9"/>
  <c r="D205" i="10" l="1"/>
  <c r="C205" i="10"/>
  <c r="B206" i="10"/>
  <c r="C202" i="9"/>
  <c r="D202" i="9"/>
  <c r="B203" i="9"/>
  <c r="C206" i="10" l="1"/>
  <c r="B207" i="10"/>
  <c r="D206" i="10"/>
  <c r="B204" i="9"/>
  <c r="D203" i="9"/>
  <c r="C203" i="9"/>
  <c r="B208" i="10" l="1"/>
  <c r="D207" i="10"/>
  <c r="C207" i="10"/>
  <c r="C204" i="9"/>
  <c r="B205" i="9"/>
  <c r="D204" i="9"/>
  <c r="B209" i="10" l="1"/>
  <c r="C208" i="10"/>
  <c r="D208" i="10"/>
  <c r="C205" i="9"/>
  <c r="D205" i="9"/>
  <c r="B206" i="9"/>
  <c r="D209" i="10" l="1"/>
  <c r="B210" i="10"/>
  <c r="C209" i="10"/>
  <c r="D206" i="9"/>
  <c r="B207" i="9"/>
  <c r="C206" i="9"/>
  <c r="B211" i="10" l="1"/>
  <c r="D210" i="10"/>
  <c r="C210" i="10"/>
  <c r="D207" i="9"/>
  <c r="B208" i="9"/>
  <c r="C207" i="9"/>
  <c r="D211" i="10" l="1"/>
  <c r="C211" i="10"/>
  <c r="B212" i="10"/>
  <c r="C208" i="9"/>
  <c r="B209" i="9"/>
  <c r="D208" i="9"/>
  <c r="C212" i="10" l="1"/>
  <c r="B213" i="10"/>
  <c r="D212" i="10"/>
  <c r="C209" i="9"/>
  <c r="D209" i="9"/>
  <c r="B210" i="9"/>
  <c r="B214" i="10" l="1"/>
  <c r="D213" i="10"/>
  <c r="C213" i="10"/>
  <c r="C210" i="9"/>
  <c r="D210" i="9"/>
  <c r="B211" i="9"/>
  <c r="D214" i="10" l="1"/>
  <c r="C214" i="10"/>
  <c r="B215" i="10"/>
  <c r="B212" i="9"/>
  <c r="D211" i="9"/>
  <c r="C211" i="9"/>
  <c r="B216" i="10" l="1"/>
  <c r="C215" i="10"/>
  <c r="D215" i="10"/>
  <c r="C212" i="9"/>
  <c r="B213" i="9"/>
  <c r="D212" i="9"/>
  <c r="B217" i="10" l="1"/>
  <c r="D216" i="10"/>
  <c r="C216" i="10"/>
  <c r="C213" i="9"/>
  <c r="D213" i="9"/>
  <c r="B214" i="9"/>
  <c r="C217" i="10" l="1"/>
  <c r="D217" i="10"/>
  <c r="B218" i="10"/>
  <c r="D214" i="9"/>
  <c r="B215" i="9"/>
  <c r="C214" i="9"/>
  <c r="B219" i="10" l="1"/>
  <c r="D218" i="10"/>
  <c r="C218" i="10"/>
  <c r="D215" i="9"/>
  <c r="B216" i="9"/>
  <c r="C215" i="9"/>
  <c r="B220" i="10" l="1"/>
  <c r="D219" i="10"/>
  <c r="C219" i="10"/>
  <c r="B217" i="9"/>
  <c r="C216" i="9"/>
  <c r="D216" i="9"/>
  <c r="C220" i="10" l="1"/>
  <c r="D220" i="10"/>
  <c r="B221" i="10"/>
  <c r="C217" i="9"/>
  <c r="D217" i="9"/>
  <c r="B218" i="9"/>
  <c r="B222" i="10" l="1"/>
  <c r="D221" i="10"/>
  <c r="C221" i="10"/>
  <c r="C218" i="9"/>
  <c r="D218" i="9"/>
  <c r="B219" i="9"/>
  <c r="D222" i="10" l="1"/>
  <c r="C222" i="10"/>
  <c r="B223" i="10"/>
  <c r="B220" i="9"/>
  <c r="D219" i="9"/>
  <c r="C219" i="9"/>
  <c r="B224" i="10" l="1"/>
  <c r="C223" i="10"/>
  <c r="D223" i="10"/>
  <c r="C220" i="9"/>
  <c r="B221" i="9"/>
  <c r="D220" i="9"/>
  <c r="B225" i="10" l="1"/>
  <c r="D224" i="10"/>
  <c r="C224" i="10"/>
  <c r="C221" i="9"/>
  <c r="D221" i="9"/>
  <c r="B222" i="9"/>
  <c r="C225" i="10" l="1"/>
  <c r="D225" i="10"/>
  <c r="B226" i="10"/>
  <c r="D222" i="9"/>
  <c r="B223" i="9"/>
  <c r="C222" i="9"/>
  <c r="B227" i="10" l="1"/>
  <c r="D226" i="10"/>
  <c r="C226" i="10"/>
  <c r="D223" i="9"/>
  <c r="B224" i="9"/>
  <c r="C223" i="9"/>
  <c r="B228" i="10" l="1"/>
  <c r="D227" i="10"/>
  <c r="C227" i="10"/>
  <c r="B225" i="9"/>
  <c r="D224" i="9"/>
  <c r="C224" i="9"/>
  <c r="C228" i="10" l="1"/>
  <c r="B229" i="10"/>
  <c r="D228" i="10"/>
  <c r="C225" i="9"/>
  <c r="D225" i="9"/>
  <c r="B226" i="9"/>
  <c r="B230" i="10" l="1"/>
  <c r="D229" i="10"/>
  <c r="C229" i="10"/>
  <c r="C226" i="9"/>
  <c r="D226" i="9"/>
  <c r="B227" i="9"/>
  <c r="D230" i="10" l="1"/>
  <c r="C230" i="10"/>
  <c r="B231" i="10"/>
  <c r="B228" i="9"/>
  <c r="D227" i="9"/>
  <c r="C227" i="9"/>
  <c r="B232" i="10" l="1"/>
  <c r="C231" i="10"/>
  <c r="D231" i="10"/>
  <c r="B229" i="9"/>
  <c r="C228" i="9"/>
  <c r="D228" i="9"/>
  <c r="B233" i="10" l="1"/>
  <c r="D232" i="10"/>
  <c r="C232" i="10"/>
  <c r="C229" i="9"/>
  <c r="D229" i="9"/>
  <c r="B230" i="9"/>
  <c r="C233" i="10" l="1"/>
  <c r="D233" i="10"/>
  <c r="B234" i="10"/>
  <c r="D230" i="9"/>
  <c r="C230" i="9"/>
  <c r="B231" i="9"/>
  <c r="B235" i="10" l="1"/>
  <c r="D234" i="10"/>
  <c r="C234" i="10"/>
  <c r="D231" i="9"/>
  <c r="B232" i="9"/>
  <c r="C231" i="9"/>
  <c r="B236" i="10" l="1"/>
  <c r="D235" i="10"/>
  <c r="C235" i="10"/>
  <c r="B233" i="9"/>
  <c r="C232" i="9"/>
  <c r="D232" i="9"/>
  <c r="C236" i="10" l="1"/>
  <c r="D236" i="10"/>
  <c r="B237" i="10"/>
  <c r="C233" i="9"/>
  <c r="D233" i="9"/>
  <c r="B234" i="9"/>
  <c r="B238" i="10" l="1"/>
  <c r="D237" i="10"/>
  <c r="C237" i="10"/>
  <c r="C234" i="9"/>
  <c r="D234" i="9"/>
  <c r="B235" i="9"/>
  <c r="D238" i="10" l="1"/>
  <c r="C238" i="10"/>
  <c r="B239" i="10"/>
  <c r="B236" i="9"/>
  <c r="D235" i="9"/>
  <c r="C235" i="9"/>
  <c r="B240" i="10" l="1"/>
  <c r="C239" i="10"/>
  <c r="D239" i="10"/>
  <c r="B237" i="9"/>
  <c r="C236" i="9"/>
  <c r="D236" i="9"/>
  <c r="B241" i="10" l="1"/>
  <c r="D240" i="10"/>
  <c r="C240" i="10"/>
  <c r="C237" i="9"/>
  <c r="D237" i="9"/>
  <c r="B238" i="9"/>
  <c r="C241" i="10" l="1"/>
  <c r="D241" i="10"/>
  <c r="B242" i="10"/>
  <c r="D238" i="9"/>
  <c r="C238" i="9"/>
  <c r="B239" i="9"/>
  <c r="B243" i="10" l="1"/>
  <c r="D242" i="10"/>
  <c r="C242" i="10"/>
  <c r="D239" i="9"/>
  <c r="B240" i="9"/>
  <c r="C239" i="9"/>
  <c r="B244" i="10" l="1"/>
  <c r="D243" i="10"/>
  <c r="C243" i="10"/>
  <c r="B241" i="9"/>
  <c r="C240" i="9"/>
  <c r="D240" i="9"/>
  <c r="C244" i="10" l="1"/>
  <c r="B245" i="10"/>
  <c r="D244" i="10"/>
  <c r="C241" i="9"/>
  <c r="D241" i="9"/>
  <c r="B242" i="9"/>
  <c r="B246" i="10" l="1"/>
  <c r="D245" i="10"/>
  <c r="C245" i="10"/>
  <c r="C242" i="9"/>
  <c r="D242" i="9"/>
  <c r="B243" i="9"/>
  <c r="D246" i="10" l="1"/>
  <c r="C246" i="10"/>
  <c r="B247" i="10"/>
  <c r="B244" i="9"/>
  <c r="D243" i="9"/>
  <c r="C243" i="9"/>
  <c r="B248" i="10" l="1"/>
  <c r="C247" i="10"/>
  <c r="D247" i="10"/>
  <c r="B245" i="9"/>
  <c r="C244" i="9"/>
  <c r="D244" i="9"/>
  <c r="B249" i="10" l="1"/>
  <c r="D248" i="10"/>
  <c r="C248" i="10"/>
  <c r="C245" i="9"/>
  <c r="D245" i="9"/>
  <c r="B246" i="9"/>
  <c r="C249" i="10" l="1"/>
  <c r="D249" i="10"/>
  <c r="B250" i="10"/>
  <c r="D246" i="9"/>
  <c r="C246" i="9"/>
  <c r="B247" i="9"/>
  <c r="B251" i="10" l="1"/>
  <c r="D250" i="10"/>
  <c r="C250" i="10"/>
  <c r="D247" i="9"/>
  <c r="B248" i="9"/>
  <c r="C247" i="9"/>
  <c r="B252" i="10" l="1"/>
  <c r="D251" i="10"/>
  <c r="C251" i="10"/>
  <c r="B249" i="9"/>
  <c r="C248" i="9"/>
  <c r="D248" i="9"/>
  <c r="B253" i="10" l="1"/>
  <c r="C252" i="10"/>
  <c r="D252" i="10"/>
  <c r="C249" i="9"/>
  <c r="D249" i="9"/>
  <c r="B250" i="9"/>
  <c r="B254" i="10" l="1"/>
  <c r="D253" i="10"/>
  <c r="C253" i="10"/>
  <c r="C250" i="9"/>
  <c r="D250" i="9"/>
  <c r="B251" i="9"/>
  <c r="D254" i="10" l="1"/>
  <c r="C254" i="10"/>
  <c r="B255" i="10"/>
  <c r="B252" i="9"/>
  <c r="D251" i="9"/>
  <c r="C251" i="9"/>
  <c r="B256" i="10" l="1"/>
  <c r="D255" i="10"/>
  <c r="C255" i="10"/>
  <c r="B253" i="9"/>
  <c r="C252" i="9"/>
  <c r="D252" i="9"/>
  <c r="B257" i="10" l="1"/>
  <c r="D256" i="10"/>
  <c r="C256" i="10"/>
  <c r="C253" i="9"/>
  <c r="D253" i="9"/>
  <c r="B254" i="9"/>
  <c r="C257" i="10" l="1"/>
  <c r="D257" i="10"/>
  <c r="B258" i="10"/>
  <c r="D254" i="9"/>
  <c r="C254" i="9"/>
  <c r="B255" i="9"/>
  <c r="B259" i="10" l="1"/>
  <c r="D258" i="10"/>
  <c r="C258" i="10"/>
  <c r="D255" i="9"/>
  <c r="B256" i="9"/>
  <c r="C255" i="9"/>
  <c r="B260" i="10" l="1"/>
  <c r="D259" i="10"/>
  <c r="C259" i="10"/>
  <c r="B257" i="9"/>
  <c r="C256" i="9"/>
  <c r="D256" i="9"/>
  <c r="B261" i="10" l="1"/>
  <c r="C260" i="10"/>
  <c r="D260" i="10"/>
  <c r="C257" i="9"/>
  <c r="D257" i="9"/>
  <c r="B258" i="9"/>
  <c r="B262" i="10" l="1"/>
  <c r="D261" i="10"/>
  <c r="C261" i="10"/>
  <c r="C258" i="9"/>
  <c r="D258" i="9"/>
  <c r="B259" i="9"/>
  <c r="D262" i="10" l="1"/>
  <c r="C262" i="10"/>
  <c r="B263" i="10"/>
  <c r="B260" i="9"/>
  <c r="D259" i="9"/>
  <c r="C259" i="9"/>
  <c r="B264" i="10" l="1"/>
  <c r="D263" i="10"/>
  <c r="C263" i="10"/>
  <c r="B261" i="9"/>
  <c r="C260" i="9"/>
  <c r="D260" i="9"/>
  <c r="B265" i="10" l="1"/>
  <c r="D264" i="10"/>
  <c r="C264" i="10"/>
  <c r="C261" i="9"/>
  <c r="D261" i="9"/>
  <c r="B262" i="9"/>
  <c r="C265" i="10" l="1"/>
  <c r="D265" i="10"/>
  <c r="B266" i="10"/>
  <c r="D262" i="9"/>
  <c r="C262" i="9"/>
  <c r="B263" i="9"/>
  <c r="B267" i="10" l="1"/>
  <c r="D266" i="10"/>
  <c r="C266" i="10"/>
  <c r="D263" i="9"/>
  <c r="B264" i="9"/>
  <c r="C263" i="9"/>
  <c r="B268" i="10" l="1"/>
  <c r="D267" i="10"/>
  <c r="C267" i="10"/>
  <c r="B265" i="9"/>
  <c r="C264" i="9"/>
  <c r="D264" i="9"/>
  <c r="B269" i="10" l="1"/>
  <c r="C268" i="10"/>
  <c r="D268" i="10"/>
  <c r="C265" i="9"/>
  <c r="D265" i="9"/>
  <c r="B266" i="9"/>
  <c r="B270" i="10" l="1"/>
  <c r="D269" i="10"/>
  <c r="C269" i="10"/>
  <c r="C266" i="9"/>
  <c r="D266" i="9"/>
  <c r="B267" i="9"/>
  <c r="D270" i="10" l="1"/>
  <c r="C270" i="10"/>
  <c r="B271" i="10"/>
  <c r="B268" i="9"/>
  <c r="D267" i="9"/>
  <c r="C267" i="9"/>
  <c r="B272" i="10" l="1"/>
  <c r="D271" i="10"/>
  <c r="C271" i="10"/>
  <c r="B269" i="9"/>
  <c r="C268" i="9"/>
  <c r="D268" i="9"/>
  <c r="B273" i="10" l="1"/>
  <c r="D272" i="10"/>
  <c r="C272" i="10"/>
  <c r="C269" i="9"/>
  <c r="D269" i="9"/>
  <c r="B270" i="9"/>
  <c r="C273" i="10" l="1"/>
  <c r="D273" i="10"/>
  <c r="B274" i="10"/>
  <c r="D270" i="9"/>
  <c r="C270" i="9"/>
  <c r="B271" i="9"/>
  <c r="B275" i="10" l="1"/>
  <c r="D274" i="10"/>
  <c r="C274" i="10"/>
  <c r="D271" i="9"/>
  <c r="B272" i="9"/>
  <c r="C271" i="9"/>
  <c r="B276" i="10" l="1"/>
  <c r="D275" i="10"/>
  <c r="C275" i="10"/>
  <c r="B273" i="9"/>
  <c r="C272" i="9"/>
  <c r="D272" i="9"/>
  <c r="B277" i="10" l="1"/>
  <c r="C276" i="10"/>
  <c r="D276" i="10"/>
  <c r="C273" i="9"/>
  <c r="D273" i="9"/>
  <c r="B274" i="9"/>
  <c r="B278" i="10" l="1"/>
  <c r="D277" i="10"/>
  <c r="C277" i="10"/>
  <c r="C274" i="9"/>
  <c r="D274" i="9"/>
  <c r="B275" i="9"/>
  <c r="D278" i="10" l="1"/>
  <c r="C278" i="10"/>
  <c r="B279" i="10"/>
  <c r="B276" i="9"/>
  <c r="D275" i="9"/>
  <c r="C275" i="9"/>
  <c r="B280" i="10" l="1"/>
  <c r="D279" i="10"/>
  <c r="C279" i="10"/>
  <c r="B277" i="9"/>
  <c r="C276" i="9"/>
  <c r="D276" i="9"/>
  <c r="B281" i="10" l="1"/>
  <c r="D280" i="10"/>
  <c r="C280" i="10"/>
  <c r="C277" i="9"/>
  <c r="D277" i="9"/>
  <c r="B278" i="9"/>
  <c r="C281" i="10" l="1"/>
  <c r="D281" i="10"/>
  <c r="B282" i="10"/>
  <c r="D278" i="9"/>
  <c r="C278" i="9"/>
  <c r="B279" i="9"/>
  <c r="B283" i="10" l="1"/>
  <c r="D282" i="10"/>
  <c r="C282" i="10"/>
  <c r="D279" i="9"/>
  <c r="B280" i="9"/>
  <c r="C279" i="9"/>
  <c r="B284" i="10" l="1"/>
  <c r="D283" i="10"/>
  <c r="C283" i="10"/>
  <c r="B281" i="9"/>
  <c r="C280" i="9"/>
  <c r="D280" i="9"/>
  <c r="B285" i="10" l="1"/>
  <c r="C284" i="10"/>
  <c r="D284" i="10"/>
  <c r="C281" i="9"/>
  <c r="D281" i="9"/>
  <c r="B282" i="9"/>
  <c r="B286" i="10" l="1"/>
  <c r="D285" i="10"/>
  <c r="C285" i="10"/>
  <c r="C282" i="9"/>
  <c r="D282" i="9"/>
  <c r="B283" i="9"/>
  <c r="D286" i="10" l="1"/>
  <c r="C286" i="10"/>
  <c r="B287" i="10"/>
  <c r="B284" i="9"/>
  <c r="D283" i="9"/>
  <c r="C283" i="9"/>
  <c r="B288" i="10" l="1"/>
  <c r="D287" i="10"/>
  <c r="C287" i="10"/>
  <c r="B285" i="9"/>
  <c r="C284" i="9"/>
  <c r="D284" i="9"/>
  <c r="B289" i="10" l="1"/>
  <c r="D288" i="10"/>
  <c r="C288" i="10"/>
  <c r="C285" i="9"/>
  <c r="D285" i="9"/>
  <c r="B286" i="9"/>
  <c r="C289" i="10" l="1"/>
  <c r="D289" i="10"/>
  <c r="B290" i="10"/>
  <c r="D286" i="9"/>
  <c r="C286" i="9"/>
  <c r="B287" i="9"/>
  <c r="B291" i="10" l="1"/>
  <c r="D290" i="10"/>
  <c r="C290" i="10"/>
  <c r="D287" i="9"/>
  <c r="B288" i="9"/>
  <c r="C287" i="9"/>
  <c r="B292" i="10" l="1"/>
  <c r="D291" i="10"/>
  <c r="C291" i="10"/>
  <c r="B289" i="9"/>
  <c r="C288" i="9"/>
  <c r="D288" i="9"/>
  <c r="B293" i="10" l="1"/>
  <c r="C292" i="10"/>
  <c r="D292" i="10"/>
  <c r="C289" i="9"/>
  <c r="D289" i="9"/>
  <c r="B290" i="9"/>
  <c r="B294" i="10" l="1"/>
  <c r="D293" i="10"/>
  <c r="C293" i="10"/>
  <c r="C290" i="9"/>
  <c r="D290" i="9"/>
  <c r="B291" i="9"/>
  <c r="D294" i="10" l="1"/>
  <c r="C294" i="10"/>
  <c r="B295" i="10"/>
  <c r="B292" i="9"/>
  <c r="D291" i="9"/>
  <c r="C291" i="9"/>
  <c r="B296" i="10" l="1"/>
  <c r="D295" i="10"/>
  <c r="C295" i="10"/>
  <c r="C292" i="9"/>
  <c r="D292" i="9"/>
  <c r="B293" i="9"/>
  <c r="B297" i="10" l="1"/>
  <c r="D296" i="10"/>
  <c r="C296" i="10"/>
  <c r="D293" i="9"/>
  <c r="B294" i="9"/>
  <c r="C293" i="9"/>
  <c r="C297" i="10" l="1"/>
  <c r="D297" i="10"/>
  <c r="B298" i="10"/>
  <c r="C294" i="9"/>
  <c r="D294" i="9"/>
  <c r="B295" i="9"/>
  <c r="B299" i="10" l="1"/>
  <c r="D298" i="10"/>
  <c r="C298" i="10"/>
  <c r="C295" i="9"/>
  <c r="D295" i="9"/>
  <c r="B296" i="9"/>
  <c r="B300" i="10" l="1"/>
  <c r="D299" i="10"/>
  <c r="C299" i="10"/>
  <c r="C296" i="9"/>
  <c r="D296" i="9"/>
  <c r="B297" i="9"/>
  <c r="B301" i="10" l="1"/>
  <c r="C300" i="10"/>
  <c r="D300" i="10"/>
  <c r="C297" i="9"/>
  <c r="D297" i="9"/>
  <c r="B298" i="9"/>
  <c r="B302" i="10" l="1"/>
  <c r="D301" i="10"/>
  <c r="C301" i="10"/>
  <c r="B299" i="9"/>
  <c r="C298" i="9"/>
  <c r="D298" i="9"/>
  <c r="D302" i="10" l="1"/>
  <c r="C302" i="10"/>
  <c r="B303" i="10"/>
  <c r="C299" i="9"/>
  <c r="D299" i="9"/>
  <c r="B300" i="9"/>
  <c r="B304" i="10" l="1"/>
  <c r="D303" i="10"/>
  <c r="C303" i="10"/>
  <c r="C300" i="9"/>
  <c r="D300" i="9"/>
  <c r="B301" i="9"/>
  <c r="B305" i="10" l="1"/>
  <c r="D304" i="10"/>
  <c r="C304" i="10"/>
  <c r="D301" i="9"/>
  <c r="B302" i="9"/>
  <c r="C301" i="9"/>
  <c r="C305" i="10" l="1"/>
  <c r="D305" i="10"/>
  <c r="B306" i="10"/>
  <c r="C302" i="9"/>
  <c r="D302" i="9"/>
  <c r="B303" i="9"/>
  <c r="B307" i="10" l="1"/>
  <c r="D306" i="10"/>
  <c r="C306" i="10"/>
  <c r="C303" i="9"/>
  <c r="D303" i="9"/>
  <c r="B304" i="9"/>
  <c r="B308" i="10" l="1"/>
  <c r="D307" i="10"/>
  <c r="C307" i="10"/>
  <c r="C304" i="9"/>
  <c r="D304" i="9"/>
  <c r="B305" i="9"/>
  <c r="B309" i="10" l="1"/>
  <c r="C308" i="10"/>
  <c r="D308" i="10"/>
  <c r="C305" i="9"/>
  <c r="D305" i="9"/>
  <c r="B306" i="9"/>
  <c r="B310" i="10" l="1"/>
  <c r="D309" i="10"/>
  <c r="C309" i="10"/>
  <c r="B307" i="9"/>
  <c r="C306" i="9"/>
  <c r="D306" i="9"/>
  <c r="C310" i="10" l="1"/>
  <c r="B311" i="10"/>
  <c r="D310" i="10"/>
  <c r="C307" i="9"/>
  <c r="D307" i="9"/>
  <c r="B308" i="9"/>
  <c r="B312" i="10" l="1"/>
  <c r="C311" i="10"/>
  <c r="D311" i="10"/>
  <c r="C308" i="9"/>
  <c r="D308" i="9"/>
  <c r="B309" i="9"/>
  <c r="D312" i="10" l="1"/>
  <c r="B313" i="10"/>
  <c r="C312" i="10"/>
  <c r="D309" i="9"/>
  <c r="B310" i="9"/>
  <c r="C309" i="9"/>
  <c r="B314" i="10" l="1"/>
  <c r="D313" i="10"/>
  <c r="C313" i="10"/>
  <c r="C310" i="9"/>
  <c r="D310" i="9"/>
  <c r="B311" i="9"/>
  <c r="C314" i="10" l="1"/>
  <c r="D314" i="10"/>
  <c r="B315" i="10"/>
  <c r="C311" i="9"/>
  <c r="D311" i="9"/>
  <c r="B312" i="9"/>
  <c r="C315" i="10" l="1"/>
  <c r="D315" i="10"/>
  <c r="B316" i="10"/>
  <c r="C312" i="9"/>
  <c r="D312" i="9"/>
  <c r="B313" i="9"/>
  <c r="D316" i="10" l="1"/>
  <c r="B317" i="10"/>
  <c r="C316" i="10"/>
  <c r="C313" i="9"/>
  <c r="D313" i="9"/>
  <c r="B314" i="9"/>
  <c r="B318" i="10" l="1"/>
  <c r="D317" i="10"/>
  <c r="C317" i="10"/>
  <c r="B315" i="9"/>
  <c r="C314" i="9"/>
  <c r="D314" i="9"/>
  <c r="C318" i="10" l="1"/>
  <c r="D318" i="10"/>
  <c r="B319" i="10"/>
  <c r="C315" i="9"/>
  <c r="D315" i="9"/>
  <c r="B316" i="9"/>
  <c r="C319" i="10" l="1"/>
  <c r="B320" i="10"/>
  <c r="D319" i="10"/>
  <c r="C316" i="9"/>
  <c r="D316" i="9"/>
  <c r="B317" i="9"/>
  <c r="D320" i="10" l="1"/>
  <c r="B321" i="10"/>
  <c r="C320" i="10"/>
  <c r="D317" i="9"/>
  <c r="B318" i="9"/>
  <c r="C317" i="9"/>
  <c r="B322" i="10" l="1"/>
  <c r="D321" i="10"/>
  <c r="C321" i="10"/>
  <c r="C318" i="9"/>
  <c r="D318" i="9"/>
  <c r="B319" i="9"/>
  <c r="D322" i="10" l="1"/>
  <c r="C322" i="10"/>
  <c r="B323" i="10"/>
  <c r="C319" i="9"/>
  <c r="D319" i="9"/>
  <c r="B320" i="9"/>
  <c r="C323" i="10" l="1"/>
  <c r="D323" i="10"/>
  <c r="B324" i="10"/>
  <c r="C320" i="9"/>
  <c r="D320" i="9"/>
  <c r="B321" i="9"/>
  <c r="D324" i="10" l="1"/>
  <c r="B325" i="10"/>
  <c r="C324" i="10"/>
  <c r="C321" i="9"/>
  <c r="D321" i="9"/>
  <c r="B322" i="9"/>
  <c r="B326" i="10" l="1"/>
  <c r="D325" i="10"/>
  <c r="C325" i="10"/>
  <c r="B323" i="9"/>
  <c r="C322" i="9"/>
  <c r="D322" i="9"/>
  <c r="C326" i="10" l="1"/>
  <c r="B327" i="10"/>
  <c r="D326" i="10"/>
  <c r="C323" i="9"/>
  <c r="D323" i="9"/>
  <c r="B324" i="9"/>
  <c r="B328" i="10" l="1"/>
  <c r="C327" i="10"/>
  <c r="D327" i="10"/>
  <c r="C324" i="9"/>
  <c r="D324" i="9"/>
  <c r="B325" i="9"/>
  <c r="D328" i="10" l="1"/>
  <c r="B329" i="10"/>
  <c r="C328" i="10"/>
  <c r="D325" i="9"/>
  <c r="B326" i="9"/>
  <c r="C325" i="9"/>
  <c r="B330" i="10" l="1"/>
  <c r="D329" i="10"/>
  <c r="C329" i="10"/>
  <c r="C326" i="9"/>
  <c r="D326" i="9"/>
  <c r="B327" i="9"/>
  <c r="D330" i="10" l="1"/>
  <c r="B331" i="10"/>
  <c r="C330" i="10"/>
  <c r="C327" i="9"/>
  <c r="D327" i="9"/>
  <c r="B328" i="9"/>
  <c r="C331" i="10" l="1"/>
  <c r="D331" i="10"/>
  <c r="B332" i="10"/>
  <c r="C328" i="9"/>
  <c r="D328" i="9"/>
  <c r="B329" i="9"/>
  <c r="D332" i="10" l="1"/>
  <c r="C332" i="10"/>
  <c r="B333" i="10"/>
  <c r="C329" i="9"/>
  <c r="D329" i="9"/>
  <c r="B330" i="9"/>
  <c r="B334" i="10" l="1"/>
  <c r="C333" i="10"/>
  <c r="D333" i="10"/>
  <c r="B331" i="9"/>
  <c r="C330" i="9"/>
  <c r="D330" i="9"/>
  <c r="C334" i="10" l="1"/>
  <c r="B335" i="10"/>
  <c r="D334" i="10"/>
  <c r="C331" i="9"/>
  <c r="D331" i="9"/>
  <c r="B332" i="9"/>
  <c r="B336" i="10" l="1"/>
  <c r="C335" i="10"/>
  <c r="D335" i="10"/>
  <c r="C332" i="9"/>
  <c r="D332" i="9"/>
  <c r="B333" i="9"/>
  <c r="D336" i="10" l="1"/>
  <c r="B337" i="10"/>
  <c r="C336" i="10"/>
  <c r="D333" i="9"/>
  <c r="B334" i="9"/>
  <c r="C333" i="9"/>
  <c r="B338" i="10" l="1"/>
  <c r="D337" i="10"/>
  <c r="C337" i="10"/>
  <c r="C334" i="9"/>
  <c r="D334" i="9"/>
  <c r="B335" i="9"/>
  <c r="D338" i="10" l="1"/>
  <c r="C338" i="10"/>
  <c r="B339" i="10"/>
  <c r="C335" i="9"/>
  <c r="D335" i="9"/>
  <c r="B336" i="9"/>
  <c r="C339" i="10" l="1"/>
  <c r="D339" i="10"/>
  <c r="B340" i="10"/>
  <c r="C336" i="9"/>
  <c r="D336" i="9"/>
  <c r="B337" i="9"/>
  <c r="D340" i="10" l="1"/>
  <c r="B341" i="10"/>
  <c r="C340" i="10"/>
  <c r="C337" i="9"/>
  <c r="D337" i="9"/>
  <c r="B338" i="9"/>
  <c r="B342" i="10" l="1"/>
  <c r="C341" i="10"/>
  <c r="D341" i="10"/>
  <c r="B339" i="9"/>
  <c r="C338" i="9"/>
  <c r="D338" i="9"/>
  <c r="C342" i="10" l="1"/>
  <c r="B343" i="10"/>
  <c r="D342" i="10"/>
  <c r="C339" i="9"/>
  <c r="D339" i="9"/>
  <c r="B340" i="9"/>
  <c r="B344" i="10" l="1"/>
  <c r="C343" i="10"/>
  <c r="D343" i="10"/>
  <c r="C340" i="9"/>
  <c r="D340" i="9"/>
  <c r="B341" i="9"/>
  <c r="D344" i="10" l="1"/>
  <c r="B345" i="10"/>
  <c r="C344" i="10"/>
  <c r="D341" i="9"/>
  <c r="B342" i="9"/>
  <c r="C341" i="9"/>
  <c r="B346" i="10" l="1"/>
  <c r="D345" i="10"/>
  <c r="C345" i="10"/>
  <c r="C342" i="9"/>
  <c r="D342" i="9"/>
  <c r="B343" i="9"/>
  <c r="D346" i="10" l="1"/>
  <c r="B347" i="10"/>
  <c r="C346" i="10"/>
  <c r="C343" i="9"/>
  <c r="D343" i="9"/>
  <c r="B344" i="9"/>
  <c r="C347" i="10" l="1"/>
  <c r="D347" i="10"/>
  <c r="B348" i="10"/>
  <c r="C344" i="9"/>
  <c r="D344" i="9"/>
  <c r="B345" i="9"/>
  <c r="D348" i="10" l="1"/>
  <c r="C348" i="10"/>
  <c r="B349" i="10"/>
  <c r="C345" i="9"/>
  <c r="D345" i="9"/>
  <c r="B346" i="9"/>
  <c r="B350" i="10" l="1"/>
  <c r="C349" i="10"/>
  <c r="D349" i="10"/>
  <c r="B347" i="9"/>
  <c r="C346" i="9"/>
  <c r="D346" i="9"/>
  <c r="C350" i="10" l="1"/>
  <c r="B351" i="10"/>
  <c r="D350" i="10"/>
  <c r="C347" i="9"/>
  <c r="D347" i="9"/>
  <c r="B348" i="9"/>
  <c r="B352" i="10" l="1"/>
  <c r="C351" i="10"/>
  <c r="D351" i="10"/>
  <c r="C348" i="9"/>
  <c r="D348" i="9"/>
  <c r="B349" i="9"/>
  <c r="D352" i="10" l="1"/>
  <c r="B353" i="10"/>
  <c r="C352" i="10"/>
  <c r="D349" i="9"/>
  <c r="B350" i="9"/>
  <c r="C349" i="9"/>
  <c r="B354" i="10" l="1"/>
  <c r="D353" i="10"/>
  <c r="C353" i="10"/>
  <c r="C350" i="9"/>
  <c r="D350" i="9"/>
  <c r="B351" i="9"/>
  <c r="D354" i="10" l="1"/>
  <c r="C354" i="10"/>
  <c r="B355" i="10"/>
  <c r="C351" i="9"/>
  <c r="D351" i="9"/>
  <c r="B352" i="9"/>
  <c r="C355" i="10" l="1"/>
  <c r="D355" i="10"/>
  <c r="B356" i="10"/>
  <c r="C352" i="9"/>
  <c r="D352" i="9"/>
  <c r="B353" i="9"/>
  <c r="D356" i="10" l="1"/>
  <c r="B357" i="10"/>
  <c r="C356" i="10"/>
  <c r="C353" i="9"/>
  <c r="D353" i="9"/>
  <c r="B354" i="9"/>
  <c r="B358" i="10" l="1"/>
  <c r="C357" i="10"/>
  <c r="D357" i="10"/>
  <c r="B355" i="9"/>
  <c r="C354" i="9"/>
  <c r="D354" i="9"/>
  <c r="C358" i="10" l="1"/>
  <c r="B359" i="10"/>
  <c r="D358" i="10"/>
  <c r="C355" i="9"/>
  <c r="D355" i="9"/>
  <c r="B356" i="9"/>
  <c r="B360" i="10" l="1"/>
  <c r="C359" i="10"/>
  <c r="D359" i="10"/>
  <c r="C356" i="9"/>
  <c r="D356" i="9"/>
  <c r="B357" i="9"/>
  <c r="D360" i="10" l="1"/>
  <c r="B361" i="10"/>
  <c r="C360" i="10"/>
  <c r="D357" i="9"/>
  <c r="B358" i="9"/>
  <c r="C357" i="9"/>
  <c r="B362" i="10" l="1"/>
  <c r="D361" i="10"/>
  <c r="C361" i="10"/>
  <c r="C358" i="9"/>
  <c r="D358" i="9"/>
  <c r="B359" i="9"/>
  <c r="D362" i="10" l="1"/>
  <c r="B363" i="10"/>
  <c r="C362" i="10"/>
  <c r="C359" i="9"/>
  <c r="D359" i="9"/>
  <c r="B360" i="9"/>
  <c r="C363" i="10" l="1"/>
  <c r="D363" i="10"/>
  <c r="B364" i="10"/>
  <c r="C360" i="9"/>
  <c r="D360" i="9"/>
  <c r="B361" i="9"/>
  <c r="D364" i="10" l="1"/>
  <c r="C364" i="10"/>
  <c r="B365" i="10"/>
  <c r="C361" i="9"/>
  <c r="D361" i="9"/>
  <c r="B362" i="9"/>
  <c r="B366" i="10" l="1"/>
  <c r="C365" i="10"/>
  <c r="D365" i="10"/>
  <c r="B363" i="9"/>
  <c r="C362" i="9"/>
  <c r="D362" i="9"/>
  <c r="C366" i="10" l="1"/>
  <c r="B367" i="10"/>
  <c r="D366" i="10"/>
  <c r="C363" i="9"/>
  <c r="D363" i="9"/>
  <c r="B364" i="9"/>
  <c r="B368" i="10" l="1"/>
  <c r="C367" i="10"/>
  <c r="D367" i="10"/>
  <c r="C364" i="9"/>
  <c r="D364" i="9"/>
  <c r="B365" i="9"/>
  <c r="D368" i="10" l="1"/>
  <c r="B369" i="10"/>
  <c r="C368" i="10"/>
  <c r="D365" i="9"/>
  <c r="B366" i="9"/>
  <c r="C365" i="9"/>
  <c r="B370" i="10" l="1"/>
  <c r="D369" i="10"/>
  <c r="C369" i="10"/>
  <c r="C366" i="9"/>
  <c r="D366" i="9"/>
  <c r="B367" i="9"/>
  <c r="D370" i="10" l="1"/>
  <c r="B371" i="10"/>
  <c r="C370" i="10"/>
  <c r="C367" i="9"/>
  <c r="D367" i="9"/>
  <c r="B368" i="9"/>
  <c r="C371" i="10" l="1"/>
  <c r="D371" i="10"/>
  <c r="B372" i="10"/>
  <c r="C368" i="9"/>
  <c r="D368" i="9"/>
  <c r="B369" i="9"/>
  <c r="D372" i="10" l="1"/>
  <c r="B373" i="10"/>
  <c r="C372" i="10"/>
  <c r="C369" i="9"/>
  <c r="D369" i="9"/>
  <c r="B370" i="9"/>
  <c r="B374" i="10" l="1"/>
  <c r="C373" i="10"/>
  <c r="D373" i="10"/>
  <c r="B371" i="9"/>
  <c r="C370" i="9"/>
  <c r="D370" i="9"/>
  <c r="C374" i="10" l="1"/>
  <c r="B375" i="10"/>
  <c r="D374" i="10"/>
  <c r="C371" i="9"/>
  <c r="D371" i="9"/>
  <c r="B372" i="9"/>
  <c r="B376" i="10" l="1"/>
  <c r="C375" i="10"/>
  <c r="D375" i="10"/>
  <c r="C372" i="9"/>
  <c r="D372" i="9"/>
  <c r="B373" i="9"/>
  <c r="D376" i="10" l="1"/>
  <c r="B377" i="10"/>
  <c r="C376" i="10"/>
  <c r="D373" i="9"/>
  <c r="B374" i="9"/>
  <c r="C373" i="9"/>
  <c r="B378" i="10" l="1"/>
  <c r="D377" i="10"/>
  <c r="C377" i="10"/>
  <c r="C374" i="9"/>
  <c r="D374" i="9"/>
  <c r="B375" i="9"/>
  <c r="D378" i="10" l="1"/>
  <c r="B379" i="10"/>
  <c r="C378" i="10"/>
  <c r="C375" i="9"/>
  <c r="D375" i="9"/>
  <c r="B376" i="9"/>
  <c r="C379" i="10" l="1"/>
  <c r="D379" i="10"/>
  <c r="B380" i="10"/>
  <c r="C376" i="9"/>
  <c r="D376" i="9"/>
  <c r="B377" i="9"/>
  <c r="D380" i="10" l="1"/>
  <c r="C380" i="10"/>
  <c r="B381" i="10"/>
  <c r="C377" i="9"/>
  <c r="D377" i="9"/>
  <c r="B378" i="9"/>
  <c r="B382" i="10" l="1"/>
  <c r="C381" i="10"/>
  <c r="D381" i="10"/>
  <c r="B379" i="9"/>
  <c r="C378" i="9"/>
  <c r="D378" i="9"/>
  <c r="C382" i="10" l="1"/>
  <c r="B383" i="10"/>
  <c r="D382" i="10"/>
  <c r="C379" i="9"/>
  <c r="D379" i="9"/>
  <c r="B380" i="9"/>
  <c r="B384" i="10" l="1"/>
  <c r="C383" i="10"/>
  <c r="D383" i="10"/>
  <c r="C380" i="9"/>
  <c r="D380" i="9"/>
  <c r="B381" i="9"/>
  <c r="D384" i="10" l="1"/>
  <c r="B385" i="10"/>
  <c r="C384" i="10"/>
  <c r="D381" i="9"/>
  <c r="B382" i="9"/>
  <c r="C381" i="9"/>
  <c r="B386" i="10" l="1"/>
  <c r="D385" i="10"/>
  <c r="C385" i="10"/>
  <c r="C382" i="9"/>
  <c r="D382" i="9"/>
  <c r="B383" i="9"/>
  <c r="D386" i="10" l="1"/>
  <c r="B387" i="10"/>
  <c r="C386" i="10"/>
  <c r="C383" i="9"/>
  <c r="D383" i="9"/>
  <c r="B384" i="9"/>
  <c r="C387" i="10" l="1"/>
  <c r="D387" i="10"/>
  <c r="B388" i="10"/>
  <c r="C384" i="9"/>
  <c r="D384" i="9"/>
  <c r="B385" i="9"/>
  <c r="D388" i="10" l="1"/>
  <c r="B389" i="10"/>
  <c r="C388" i="10"/>
  <c r="C385" i="9"/>
  <c r="D385" i="9"/>
  <c r="B386" i="9"/>
  <c r="B390" i="10" l="1"/>
  <c r="C389" i="10"/>
  <c r="D389" i="10"/>
  <c r="B387" i="9"/>
  <c r="C386" i="9"/>
  <c r="D386" i="9"/>
  <c r="C390" i="10" l="1"/>
  <c r="B391" i="10"/>
  <c r="D390" i="10"/>
  <c r="C387" i="9"/>
  <c r="D387" i="9"/>
  <c r="B388" i="9"/>
  <c r="B392" i="10" l="1"/>
  <c r="C391" i="10"/>
  <c r="D391" i="10"/>
  <c r="C388" i="9"/>
  <c r="D388" i="9"/>
  <c r="B389" i="9"/>
  <c r="D392" i="10" l="1"/>
  <c r="B393" i="10"/>
  <c r="C392" i="10"/>
  <c r="D389" i="9"/>
  <c r="B390" i="9"/>
  <c r="C389" i="9"/>
  <c r="B394" i="10" l="1"/>
  <c r="D393" i="10"/>
  <c r="C393" i="10"/>
  <c r="C390" i="9"/>
  <c r="D390" i="9"/>
  <c r="B391" i="9"/>
  <c r="B395" i="10" l="1"/>
  <c r="D394" i="10"/>
  <c r="C394" i="10"/>
  <c r="C391" i="9"/>
  <c r="D391" i="9"/>
  <c r="B392" i="9"/>
  <c r="C395" i="10" l="1"/>
  <c r="D395" i="10"/>
  <c r="B396" i="10"/>
  <c r="C392" i="9"/>
  <c r="D392" i="9"/>
  <c r="B393" i="9"/>
  <c r="D396" i="10" l="1"/>
  <c r="B397" i="10"/>
  <c r="C396" i="10"/>
  <c r="C393" i="9"/>
  <c r="D393" i="9"/>
  <c r="B394" i="9"/>
  <c r="B398" i="10" l="1"/>
  <c r="D397" i="10"/>
  <c r="C397" i="10"/>
  <c r="B395" i="9"/>
  <c r="C394" i="9"/>
  <c r="D394" i="9"/>
  <c r="C398" i="10" l="1"/>
  <c r="B399" i="10"/>
  <c r="D398" i="10"/>
  <c r="C395" i="9"/>
  <c r="D395" i="9"/>
  <c r="B396" i="9"/>
  <c r="B400" i="10" l="1"/>
  <c r="C399" i="10"/>
  <c r="D399" i="10"/>
  <c r="C396" i="9"/>
  <c r="D396" i="9"/>
  <c r="B397" i="9"/>
  <c r="D400" i="10" l="1"/>
  <c r="C400" i="10"/>
  <c r="B401" i="10"/>
  <c r="D397" i="9"/>
  <c r="B398" i="9"/>
  <c r="C397" i="9"/>
  <c r="B402" i="10" l="1"/>
  <c r="D401" i="10"/>
  <c r="C401" i="10"/>
  <c r="C398" i="9"/>
  <c r="D398" i="9"/>
  <c r="B399" i="9"/>
  <c r="B403" i="10" l="1"/>
  <c r="D402" i="10"/>
  <c r="C402" i="10"/>
  <c r="C399" i="9"/>
  <c r="D399" i="9"/>
  <c r="B400" i="9"/>
  <c r="C403" i="10" l="1"/>
  <c r="D403" i="10"/>
  <c r="B404" i="10"/>
  <c r="C400" i="9"/>
  <c r="D400" i="9"/>
  <c r="B401" i="9"/>
  <c r="D404" i="10" l="1"/>
  <c r="C404" i="10"/>
  <c r="B405" i="10"/>
  <c r="C401" i="9"/>
  <c r="D401" i="9"/>
  <c r="B402" i="9"/>
  <c r="B406" i="10" l="1"/>
  <c r="D405" i="10"/>
  <c r="C405" i="10"/>
  <c r="B403" i="9"/>
  <c r="C402" i="9"/>
  <c r="D402" i="9"/>
  <c r="C406" i="10" l="1"/>
  <c r="B407" i="10"/>
  <c r="D406" i="10"/>
  <c r="C403" i="9"/>
  <c r="D403" i="9"/>
  <c r="B404" i="9"/>
  <c r="B408" i="10" l="1"/>
  <c r="C407" i="10"/>
  <c r="D407" i="10"/>
  <c r="C404" i="9"/>
  <c r="D404" i="9"/>
  <c r="B405" i="9"/>
  <c r="D408" i="10" l="1"/>
  <c r="C408" i="10"/>
  <c r="B409" i="10"/>
  <c r="D405" i="9"/>
  <c r="B406" i="9"/>
  <c r="C405" i="9"/>
  <c r="B410" i="10" l="1"/>
  <c r="D409" i="10"/>
  <c r="C409" i="10"/>
  <c r="C406" i="9"/>
  <c r="D406" i="9"/>
  <c r="B407" i="9"/>
  <c r="B411" i="10" l="1"/>
  <c r="D410" i="10"/>
  <c r="C410" i="10"/>
  <c r="C407" i="9"/>
  <c r="D407" i="9"/>
  <c r="B408" i="9"/>
  <c r="C411" i="10" l="1"/>
  <c r="D411" i="10"/>
  <c r="B412" i="10"/>
  <c r="C408" i="9"/>
  <c r="D408" i="9"/>
  <c r="B409" i="9"/>
  <c r="D412" i="10" l="1"/>
  <c r="B413" i="10"/>
  <c r="C412" i="10"/>
  <c r="C409" i="9"/>
  <c r="D409" i="9"/>
  <c r="B410" i="9"/>
  <c r="B414" i="10" l="1"/>
  <c r="D413" i="10"/>
  <c r="C413" i="10"/>
  <c r="B411" i="9"/>
  <c r="C410" i="9"/>
  <c r="D410" i="9"/>
  <c r="C414" i="10" l="1"/>
  <c r="B415" i="10"/>
  <c r="D414" i="10"/>
  <c r="C411" i="9"/>
  <c r="D411" i="9"/>
  <c r="B412" i="9"/>
  <c r="B416" i="10" l="1"/>
  <c r="C415" i="10"/>
  <c r="D415" i="10"/>
  <c r="C412" i="9"/>
  <c r="D412" i="9"/>
  <c r="B413" i="9"/>
  <c r="D416" i="10" l="1"/>
  <c r="C416" i="10"/>
  <c r="B417" i="10"/>
  <c r="D413" i="9"/>
  <c r="B414" i="9"/>
  <c r="C413" i="9"/>
  <c r="B418" i="10" l="1"/>
  <c r="D417" i="10"/>
  <c r="C417" i="10"/>
  <c r="C414" i="9"/>
  <c r="D414" i="9"/>
  <c r="B415" i="9"/>
  <c r="B419" i="10" l="1"/>
  <c r="D418" i="10"/>
  <c r="C418" i="10"/>
  <c r="C415" i="9"/>
  <c r="D415" i="9"/>
  <c r="B416" i="9"/>
  <c r="C419" i="10" l="1"/>
  <c r="D419" i="10"/>
  <c r="B420" i="10"/>
  <c r="C416" i="9"/>
  <c r="D416" i="9"/>
  <c r="B417" i="9"/>
  <c r="D420" i="10" l="1"/>
  <c r="B421" i="10"/>
  <c r="C420" i="10"/>
  <c r="C417" i="9"/>
  <c r="D417" i="9"/>
  <c r="B418" i="9"/>
  <c r="B422" i="10" l="1"/>
  <c r="D421" i="10"/>
  <c r="C421" i="10"/>
  <c r="B419" i="9"/>
  <c r="C418" i="9"/>
  <c r="D418" i="9"/>
  <c r="C422" i="10" l="1"/>
  <c r="B423" i="10"/>
  <c r="D422" i="10"/>
  <c r="C419" i="9"/>
  <c r="D419" i="9"/>
  <c r="B420" i="9"/>
  <c r="B424" i="10" l="1"/>
  <c r="C423" i="10"/>
  <c r="D423" i="10"/>
  <c r="C420" i="9"/>
  <c r="D420" i="9"/>
  <c r="B421" i="9"/>
  <c r="D424" i="10" l="1"/>
  <c r="C424" i="10"/>
  <c r="B425" i="10"/>
  <c r="D421" i="9"/>
  <c r="B422" i="9"/>
  <c r="C421" i="9"/>
  <c r="B426" i="10" l="1"/>
  <c r="D425" i="10"/>
  <c r="C425" i="10"/>
  <c r="C422" i="9"/>
  <c r="D422" i="9"/>
  <c r="B423" i="9"/>
  <c r="B427" i="10" l="1"/>
  <c r="D426" i="10"/>
  <c r="C426" i="10"/>
  <c r="C423" i="9"/>
  <c r="D423" i="9"/>
  <c r="B424" i="9"/>
  <c r="C427" i="10" l="1"/>
  <c r="D427" i="10"/>
  <c r="B428" i="10"/>
  <c r="C424" i="9"/>
  <c r="D424" i="9"/>
  <c r="B425" i="9"/>
  <c r="D428" i="10" l="1"/>
  <c r="B429" i="10"/>
  <c r="C428" i="10"/>
  <c r="C425" i="9"/>
  <c r="D425" i="9"/>
  <c r="B426" i="9"/>
  <c r="B430" i="10" l="1"/>
  <c r="D429" i="10"/>
  <c r="C429" i="10"/>
  <c r="B427" i="9"/>
  <c r="C426" i="9"/>
  <c r="D426" i="9"/>
  <c r="C430" i="10" l="1"/>
  <c r="B431" i="10"/>
  <c r="D430" i="10"/>
  <c r="C427" i="9"/>
  <c r="D427" i="9"/>
  <c r="B428" i="9"/>
  <c r="B432" i="10" l="1"/>
  <c r="C431" i="10"/>
  <c r="D431" i="10"/>
  <c r="C428" i="9"/>
  <c r="D428" i="9"/>
  <c r="B429" i="9"/>
  <c r="D432" i="10" l="1"/>
  <c r="C432" i="10"/>
  <c r="B433" i="10"/>
  <c r="D429" i="9"/>
  <c r="B430" i="9"/>
  <c r="C429" i="9"/>
  <c r="B434" i="10" l="1"/>
  <c r="C433" i="10"/>
  <c r="D433" i="10"/>
  <c r="C430" i="9"/>
  <c r="D430" i="9"/>
  <c r="B431" i="9"/>
  <c r="B435" i="10" l="1"/>
  <c r="D434" i="10"/>
  <c r="C434" i="10"/>
  <c r="C431" i="9"/>
  <c r="D431" i="9"/>
  <c r="B432" i="9"/>
  <c r="C435" i="10" l="1"/>
  <c r="D435" i="10"/>
  <c r="B436" i="10"/>
  <c r="C432" i="9"/>
  <c r="D432" i="9"/>
  <c r="B433" i="9"/>
  <c r="D436" i="10" l="1"/>
  <c r="B437" i="10"/>
  <c r="C436" i="10"/>
  <c r="C433" i="9"/>
  <c r="D433" i="9"/>
  <c r="B434" i="9"/>
  <c r="B438" i="10" l="1"/>
  <c r="D437" i="10"/>
  <c r="C437" i="10"/>
  <c r="B435" i="9"/>
  <c r="C434" i="9"/>
  <c r="D434" i="9"/>
  <c r="C438" i="10" l="1"/>
  <c r="B439" i="10"/>
  <c r="D438" i="10"/>
  <c r="C435" i="9"/>
  <c r="D435" i="9"/>
  <c r="B436" i="9"/>
  <c r="B440" i="10" l="1"/>
  <c r="C439" i="10"/>
  <c r="D439" i="10"/>
  <c r="C436" i="9"/>
  <c r="D436" i="9"/>
  <c r="B437" i="9"/>
  <c r="D440" i="10" l="1"/>
  <c r="C440" i="10"/>
  <c r="B441" i="10"/>
  <c r="D437" i="9"/>
  <c r="B438" i="9"/>
  <c r="C437" i="9"/>
  <c r="B442" i="10" l="1"/>
  <c r="D441" i="10"/>
  <c r="C441" i="10"/>
  <c r="C438" i="9"/>
  <c r="D438" i="9"/>
  <c r="B439" i="9"/>
  <c r="B443" i="10" l="1"/>
  <c r="D442" i="10"/>
  <c r="C442" i="10"/>
  <c r="C439" i="9"/>
  <c r="D439" i="9"/>
  <c r="B440" i="9"/>
  <c r="C443" i="10" l="1"/>
  <c r="D443" i="10"/>
  <c r="B444" i="10"/>
  <c r="C440" i="9"/>
  <c r="D440" i="9"/>
  <c r="B441" i="9"/>
  <c r="D444" i="10" l="1"/>
  <c r="C444" i="10"/>
  <c r="B445" i="10"/>
  <c r="C441" i="9"/>
  <c r="D441" i="9"/>
  <c r="B442" i="9"/>
  <c r="B446" i="10" l="1"/>
  <c r="D445" i="10"/>
  <c r="C445" i="10"/>
  <c r="B443" i="9"/>
  <c r="C442" i="9"/>
  <c r="D442" i="9"/>
  <c r="B447" i="10" l="1"/>
  <c r="C446" i="10"/>
  <c r="D446" i="10"/>
  <c r="C443" i="9"/>
  <c r="D443" i="9"/>
  <c r="B444" i="9"/>
  <c r="B448" i="10" l="1"/>
  <c r="C447" i="10"/>
  <c r="D447" i="10"/>
  <c r="C444" i="9"/>
  <c r="D444" i="9"/>
  <c r="B445" i="9"/>
  <c r="D448" i="10" l="1"/>
  <c r="C448" i="10"/>
  <c r="B449" i="10"/>
  <c r="D445" i="9"/>
  <c r="B446" i="9"/>
  <c r="C445" i="9"/>
  <c r="B450" i="10" l="1"/>
  <c r="D449" i="10"/>
  <c r="C449" i="10"/>
  <c r="C446" i="9"/>
  <c r="D446" i="9"/>
  <c r="B447" i="9"/>
  <c r="B451" i="10" l="1"/>
  <c r="D450" i="10"/>
  <c r="C450" i="10"/>
  <c r="C447" i="9"/>
  <c r="D447" i="9"/>
  <c r="B448" i="9"/>
  <c r="C451" i="10" l="1"/>
  <c r="D451" i="10"/>
  <c r="B452" i="10"/>
  <c r="C448" i="9"/>
  <c r="D448" i="9"/>
  <c r="B449" i="9"/>
  <c r="D452" i="10" l="1"/>
  <c r="C452" i="10"/>
  <c r="B453" i="10"/>
  <c r="C449" i="9"/>
  <c r="D449" i="9"/>
  <c r="B450" i="9"/>
  <c r="B454" i="10" l="1"/>
  <c r="D453" i="10"/>
  <c r="C453" i="10"/>
  <c r="B451" i="9"/>
  <c r="C450" i="9"/>
  <c r="D450" i="9"/>
  <c r="B455" i="10" l="1"/>
  <c r="C454" i="10"/>
  <c r="D454" i="10"/>
  <c r="C451" i="9"/>
  <c r="B452" i="9"/>
  <c r="D451" i="9"/>
  <c r="B456" i="10" l="1"/>
  <c r="C455" i="10"/>
  <c r="D455" i="10"/>
  <c r="C452" i="9"/>
  <c r="D452" i="9"/>
  <c r="B453" i="9"/>
  <c r="D456" i="10" l="1"/>
  <c r="C456" i="10"/>
  <c r="B457" i="10"/>
  <c r="D453" i="9"/>
  <c r="B454" i="9"/>
  <c r="C453" i="9"/>
  <c r="B458" i="10" l="1"/>
  <c r="D457" i="10"/>
  <c r="C457" i="10"/>
  <c r="D454" i="9"/>
  <c r="B455" i="9"/>
  <c r="C454" i="9"/>
  <c r="B459" i="10" l="1"/>
  <c r="D458" i="10"/>
  <c r="C458" i="10"/>
  <c r="C455" i="9"/>
  <c r="D455" i="9"/>
  <c r="B456" i="9"/>
  <c r="C459" i="10" l="1"/>
  <c r="D459" i="10"/>
  <c r="B460" i="10"/>
  <c r="C456" i="9"/>
  <c r="D456" i="9"/>
  <c r="B457" i="9"/>
  <c r="D460" i="10" l="1"/>
  <c r="C460" i="10"/>
  <c r="B461" i="10"/>
  <c r="C457" i="9"/>
  <c r="D457" i="9"/>
  <c r="B458" i="9"/>
  <c r="B462" i="10" l="1"/>
  <c r="D461" i="10"/>
  <c r="C461" i="10"/>
  <c r="B459" i="9"/>
  <c r="C458" i="9"/>
  <c r="D458" i="9"/>
  <c r="B463" i="10" l="1"/>
  <c r="C462" i="10"/>
  <c r="D462" i="10"/>
  <c r="C459" i="9"/>
  <c r="B460" i="9"/>
  <c r="D459" i="9"/>
  <c r="B464" i="10" l="1"/>
  <c r="C463" i="10"/>
  <c r="D463" i="10"/>
  <c r="C460" i="9"/>
  <c r="D460" i="9"/>
  <c r="B461" i="9"/>
  <c r="D464" i="10" l="1"/>
  <c r="C464" i="10"/>
  <c r="B465" i="10"/>
  <c r="D461" i="9"/>
  <c r="B462" i="9"/>
  <c r="C461" i="9"/>
  <c r="B466" i="10" l="1"/>
  <c r="D465" i="10"/>
  <c r="C465" i="10"/>
  <c r="D462" i="9"/>
  <c r="B463" i="9"/>
  <c r="C462" i="9"/>
  <c r="B467" i="10" l="1"/>
  <c r="D466" i="10"/>
  <c r="C466" i="10"/>
  <c r="B464" i="9"/>
  <c r="D463" i="9"/>
  <c r="C463" i="9"/>
  <c r="C467" i="10" l="1"/>
  <c r="D467" i="10"/>
  <c r="B468" i="10"/>
  <c r="C464" i="9"/>
  <c r="D464" i="9"/>
  <c r="B465" i="9"/>
  <c r="D468" i="10" l="1"/>
  <c r="C468" i="10"/>
  <c r="B469" i="10"/>
  <c r="C465" i="9"/>
  <c r="D465" i="9"/>
  <c r="B466" i="9"/>
  <c r="B470" i="10" l="1"/>
  <c r="D469" i="10"/>
  <c r="C469" i="10"/>
  <c r="B467" i="9"/>
  <c r="D466" i="9"/>
  <c r="C466" i="9"/>
  <c r="B471" i="10" l="1"/>
  <c r="C470" i="10"/>
  <c r="D470" i="10"/>
  <c r="B468" i="9"/>
  <c r="D467" i="9"/>
  <c r="C467" i="9"/>
  <c r="B472" i="10" l="1"/>
  <c r="C471" i="10"/>
  <c r="D471" i="10"/>
  <c r="C468" i="9"/>
  <c r="D468" i="9"/>
  <c r="B469" i="9"/>
  <c r="D472" i="10" l="1"/>
  <c r="C472" i="10"/>
  <c r="B473" i="10"/>
  <c r="D469" i="9"/>
  <c r="C469" i="9"/>
  <c r="B470" i="9"/>
  <c r="B474" i="10" l="1"/>
  <c r="D473" i="10"/>
  <c r="C473" i="10"/>
  <c r="D470" i="9"/>
  <c r="B471" i="9"/>
  <c r="C470" i="9"/>
  <c r="B475" i="10" l="1"/>
  <c r="D474" i="10"/>
  <c r="C474" i="10"/>
  <c r="B472" i="9"/>
  <c r="C471" i="9"/>
  <c r="D471" i="9"/>
  <c r="C475" i="10" l="1"/>
  <c r="D475" i="10"/>
  <c r="B476" i="10"/>
  <c r="C472" i="9"/>
  <c r="B473" i="9"/>
  <c r="D472" i="9"/>
  <c r="D476" i="10" l="1"/>
  <c r="C476" i="10"/>
  <c r="B477" i="10"/>
  <c r="C473" i="9"/>
  <c r="D473" i="9"/>
  <c r="B474" i="9"/>
  <c r="B478" i="10" l="1"/>
  <c r="D477" i="10"/>
  <c r="C477" i="10"/>
  <c r="B475" i="9"/>
  <c r="D474" i="9"/>
  <c r="C474" i="9"/>
  <c r="B479" i="10" l="1"/>
  <c r="C478" i="10"/>
  <c r="D478" i="10"/>
  <c r="B476" i="9"/>
  <c r="C475" i="9"/>
  <c r="D475" i="9"/>
  <c r="B480" i="10" l="1"/>
  <c r="C479" i="10"/>
  <c r="D479" i="10"/>
  <c r="C476" i="9"/>
  <c r="D476" i="9"/>
  <c r="B477" i="9"/>
  <c r="D480" i="10" l="1"/>
  <c r="C480" i="10"/>
  <c r="B481" i="10"/>
  <c r="D477" i="9"/>
  <c r="C477" i="9"/>
  <c r="B478" i="9"/>
  <c r="B482" i="10" l="1"/>
  <c r="D481" i="10"/>
  <c r="C481" i="10"/>
  <c r="D478" i="9"/>
  <c r="B479" i="9"/>
  <c r="C478" i="9"/>
  <c r="B483" i="10" l="1"/>
  <c r="D482" i="10"/>
  <c r="C482" i="10"/>
  <c r="B480" i="9"/>
  <c r="C479" i="9"/>
  <c r="D479" i="9"/>
  <c r="C483" i="10" l="1"/>
  <c r="D483" i="10"/>
  <c r="B484" i="10"/>
  <c r="C480" i="9"/>
  <c r="D480" i="9"/>
  <c r="B481" i="9"/>
  <c r="D484" i="10" l="1"/>
  <c r="C484" i="10"/>
  <c r="B485" i="10"/>
  <c r="C481" i="9"/>
  <c r="D481" i="9"/>
  <c r="B482" i="9"/>
  <c r="B486" i="10" l="1"/>
  <c r="D485" i="10"/>
  <c r="C485" i="10"/>
  <c r="B483" i="9"/>
  <c r="D482" i="9"/>
  <c r="C482" i="9"/>
  <c r="B487" i="10" l="1"/>
  <c r="C486" i="10"/>
  <c r="D486" i="10"/>
  <c r="B484" i="9"/>
  <c r="D483" i="9"/>
  <c r="C483" i="9"/>
  <c r="B488" i="10" l="1"/>
  <c r="C487" i="10"/>
  <c r="D487" i="10"/>
  <c r="C484" i="9"/>
  <c r="D484" i="9"/>
  <c r="B485" i="9"/>
  <c r="D488" i="10" l="1"/>
  <c r="C488" i="10"/>
  <c r="B489" i="10"/>
  <c r="D485" i="9"/>
  <c r="C485" i="9"/>
  <c r="B486" i="9"/>
  <c r="B490" i="10" l="1"/>
  <c r="D489" i="10"/>
  <c r="C489" i="10"/>
  <c r="D486" i="9"/>
  <c r="B487" i="9"/>
  <c r="C486" i="9"/>
  <c r="B491" i="10" l="1"/>
  <c r="D490" i="10"/>
  <c r="C490" i="10"/>
  <c r="B488" i="9"/>
  <c r="C487" i="9"/>
  <c r="D487" i="9"/>
  <c r="C491" i="10" l="1"/>
  <c r="D491" i="10"/>
  <c r="B492" i="10"/>
  <c r="C488" i="9"/>
  <c r="B489" i="9"/>
  <c r="D488" i="9"/>
  <c r="D492" i="10" l="1"/>
  <c r="C492" i="10"/>
  <c r="B493" i="10"/>
  <c r="C489" i="9"/>
  <c r="D489" i="9"/>
  <c r="B490" i="9"/>
  <c r="B494" i="10" l="1"/>
  <c r="D493" i="10"/>
  <c r="C493" i="10"/>
  <c r="B491" i="9"/>
  <c r="D490" i="9"/>
  <c r="C490" i="9"/>
  <c r="B495" i="10" l="1"/>
  <c r="C494" i="10"/>
  <c r="D494" i="10"/>
  <c r="B492" i="9"/>
  <c r="C491" i="9"/>
  <c r="D491" i="9"/>
  <c r="B496" i="10" l="1"/>
  <c r="C495" i="10"/>
  <c r="D495" i="10"/>
  <c r="C492" i="9"/>
  <c r="D492" i="9"/>
  <c r="B493" i="9"/>
  <c r="D496" i="10" l="1"/>
  <c r="C496" i="10"/>
  <c r="B497" i="10"/>
  <c r="D493" i="9"/>
  <c r="C493" i="9"/>
  <c r="B494" i="9"/>
  <c r="B498" i="10" l="1"/>
  <c r="D497" i="10"/>
  <c r="C497" i="10"/>
  <c r="D494" i="9"/>
  <c r="B495" i="9"/>
  <c r="C494" i="9"/>
  <c r="B499" i="10" l="1"/>
  <c r="D498" i="10"/>
  <c r="C498" i="10"/>
  <c r="B496" i="9"/>
  <c r="C495" i="9"/>
  <c r="D495" i="9"/>
  <c r="C499" i="10" l="1"/>
  <c r="D499" i="10"/>
  <c r="B500" i="10"/>
  <c r="C496" i="9"/>
  <c r="D496" i="9"/>
  <c r="B497" i="9"/>
  <c r="D500" i="10" l="1"/>
  <c r="C500" i="10"/>
  <c r="B501" i="10"/>
  <c r="C497" i="9"/>
  <c r="D497" i="9"/>
  <c r="B498" i="9"/>
  <c r="B502" i="10" l="1"/>
  <c r="D501" i="10"/>
  <c r="C501" i="10"/>
  <c r="B499" i="9"/>
  <c r="D498" i="9"/>
  <c r="C498" i="9"/>
  <c r="B503" i="10" l="1"/>
  <c r="C502" i="10"/>
  <c r="D502" i="10"/>
  <c r="B500" i="9"/>
  <c r="D499" i="9"/>
  <c r="C499" i="9"/>
  <c r="B504" i="10" l="1"/>
  <c r="C503" i="10"/>
  <c r="D503" i="10"/>
  <c r="C500" i="9"/>
  <c r="D500" i="9"/>
  <c r="B501" i="9"/>
  <c r="D504" i="10" l="1"/>
  <c r="C504" i="10"/>
  <c r="B505" i="10"/>
  <c r="D501" i="9"/>
  <c r="C501" i="9"/>
  <c r="B502" i="9"/>
  <c r="B506" i="10" l="1"/>
  <c r="D505" i="10"/>
  <c r="C505" i="10"/>
  <c r="D502" i="9"/>
  <c r="B503" i="9"/>
  <c r="C502" i="9"/>
  <c r="B507" i="10" l="1"/>
  <c r="D506" i="10"/>
  <c r="C506" i="10"/>
  <c r="B504" i="9"/>
  <c r="C503" i="9"/>
  <c r="D503" i="9"/>
  <c r="C507" i="10" l="1"/>
  <c r="D507" i="10"/>
  <c r="B508" i="10"/>
  <c r="C504" i="9"/>
  <c r="B505" i="9"/>
  <c r="D504" i="9"/>
  <c r="D508" i="10" l="1"/>
  <c r="C508" i="10"/>
  <c r="B509" i="10"/>
  <c r="C505" i="9"/>
  <c r="D505" i="9"/>
  <c r="B506" i="9"/>
  <c r="B510" i="10" l="1"/>
  <c r="D509" i="10"/>
  <c r="C509" i="10"/>
  <c r="B507" i="9"/>
  <c r="D506" i="9"/>
  <c r="C506" i="9"/>
  <c r="B511" i="10" l="1"/>
  <c r="C510" i="10"/>
  <c r="D510" i="10"/>
  <c r="B508" i="9"/>
  <c r="C507" i="9"/>
  <c r="D507" i="9"/>
  <c r="B512" i="10" l="1"/>
  <c r="C511" i="10"/>
  <c r="D511" i="10"/>
  <c r="C508" i="9"/>
  <c r="D508" i="9"/>
  <c r="B509" i="9"/>
  <c r="D512" i="10" l="1"/>
  <c r="C512" i="10"/>
  <c r="B513" i="10"/>
  <c r="D509" i="9"/>
  <c r="C509" i="9"/>
  <c r="B510" i="9"/>
  <c r="B514" i="10" l="1"/>
  <c r="D513" i="10"/>
  <c r="C513" i="10"/>
  <c r="D510" i="9"/>
  <c r="B511" i="9"/>
  <c r="C510" i="9"/>
  <c r="B515" i="10" l="1"/>
  <c r="D514" i="10"/>
  <c r="C514" i="10"/>
  <c r="B512" i="9"/>
  <c r="C511" i="9"/>
  <c r="D511" i="9"/>
  <c r="C515" i="10" l="1"/>
  <c r="D515" i="10"/>
  <c r="B516" i="10"/>
  <c r="C512" i="9"/>
  <c r="D512" i="9"/>
  <c r="B513" i="9"/>
  <c r="B517" i="10" l="1"/>
  <c r="D516" i="10"/>
  <c r="C516" i="10"/>
  <c r="C513" i="9"/>
  <c r="D513" i="9"/>
  <c r="B514" i="9"/>
  <c r="B518" i="10" l="1"/>
  <c r="D517" i="10"/>
  <c r="C517" i="10"/>
  <c r="B515" i="9"/>
  <c r="D514" i="9"/>
  <c r="C514" i="9"/>
  <c r="B519" i="10" l="1"/>
  <c r="C518" i="10"/>
  <c r="D518" i="10"/>
  <c r="B516" i="9"/>
  <c r="D515" i="9"/>
  <c r="C515" i="9"/>
  <c r="B520" i="10" l="1"/>
  <c r="D519" i="10"/>
  <c r="C519" i="10"/>
  <c r="C516" i="9"/>
  <c r="D516" i="9"/>
  <c r="B517" i="9"/>
  <c r="D520" i="10" l="1"/>
  <c r="C520" i="10"/>
  <c r="B521" i="10"/>
  <c r="D517" i="9"/>
  <c r="C517" i="9"/>
  <c r="B518" i="9"/>
  <c r="B522" i="10" l="1"/>
  <c r="D521" i="10"/>
  <c r="C521" i="10"/>
  <c r="D518" i="9"/>
  <c r="B519" i="9"/>
  <c r="C518" i="9"/>
  <c r="B523" i="10" l="1"/>
  <c r="D522" i="10"/>
  <c r="C522" i="10"/>
  <c r="B520" i="9"/>
  <c r="C519" i="9"/>
  <c r="D519" i="9"/>
  <c r="C523" i="10" l="1"/>
  <c r="D523" i="10"/>
  <c r="B524" i="10"/>
  <c r="C520" i="9"/>
  <c r="B521" i="9"/>
  <c r="D520" i="9"/>
  <c r="B525" i="10" l="1"/>
  <c r="D524" i="10"/>
  <c r="C524" i="10"/>
  <c r="C521" i="9"/>
  <c r="D521" i="9"/>
  <c r="B522" i="9"/>
  <c r="B526" i="10" l="1"/>
  <c r="D525" i="10"/>
  <c r="C525" i="10"/>
  <c r="B523" i="9"/>
  <c r="D522" i="9"/>
  <c r="C522" i="9"/>
  <c r="B527" i="10" l="1"/>
  <c r="C526" i="10"/>
  <c r="D526" i="10"/>
  <c r="B524" i="9"/>
  <c r="C523" i="9"/>
  <c r="D523" i="9"/>
  <c r="B528" i="10" l="1"/>
  <c r="D527" i="10"/>
  <c r="C527" i="10"/>
  <c r="C524" i="9"/>
  <c r="D524" i="9"/>
  <c r="B525" i="9"/>
  <c r="D528" i="10" l="1"/>
  <c r="C528" i="10"/>
  <c r="B529" i="10"/>
  <c r="D525" i="9"/>
  <c r="C525" i="9"/>
  <c r="B526" i="9"/>
  <c r="B530" i="10" l="1"/>
  <c r="D529" i="10"/>
  <c r="C529" i="10"/>
  <c r="D526" i="9"/>
  <c r="B527" i="9"/>
  <c r="C526" i="9"/>
  <c r="B531" i="10" l="1"/>
  <c r="D530" i="10"/>
  <c r="C530" i="10"/>
  <c r="B528" i="9"/>
  <c r="C527" i="9"/>
  <c r="D527" i="9"/>
  <c r="C531" i="10" l="1"/>
  <c r="D531" i="10"/>
  <c r="B532" i="10"/>
  <c r="C528" i="9"/>
  <c r="D528" i="9"/>
  <c r="B529" i="9"/>
  <c r="B533" i="10" l="1"/>
  <c r="D532" i="10"/>
  <c r="C532" i="10"/>
  <c r="C529" i="9"/>
  <c r="D529" i="9"/>
  <c r="B530" i="9"/>
  <c r="B534" i="10" l="1"/>
  <c r="D533" i="10"/>
  <c r="C533" i="10"/>
  <c r="B531" i="9"/>
  <c r="D530" i="9"/>
  <c r="C530" i="9"/>
  <c r="B535" i="10" l="1"/>
  <c r="C534" i="10"/>
  <c r="D534" i="10"/>
  <c r="B532" i="9"/>
  <c r="D531" i="9"/>
  <c r="C531" i="9"/>
  <c r="B536" i="10" l="1"/>
  <c r="D535" i="10"/>
  <c r="C535" i="10"/>
  <c r="C532" i="9"/>
  <c r="D532" i="9"/>
  <c r="B533" i="9"/>
  <c r="D536" i="10" l="1"/>
  <c r="C536" i="10"/>
  <c r="D533" i="9"/>
  <c r="C533" i="9"/>
  <c r="B534" i="9"/>
  <c r="D534" i="9" l="1"/>
  <c r="B535" i="9"/>
  <c r="C534" i="9"/>
  <c r="B536" i="9" l="1"/>
  <c r="C535" i="9"/>
  <c r="D535" i="9"/>
  <c r="C536" i="9" l="1"/>
  <c r="D536" i="9"/>
</calcChain>
</file>

<file path=xl/comments1.xml><?xml version="1.0" encoding="utf-8"?>
<comments xmlns="http://schemas.openxmlformats.org/spreadsheetml/2006/main">
  <authors>
    <author>Rob Collins</author>
  </authors>
  <commentList>
    <comment ref="D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V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AE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AN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AW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BF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BO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BX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CG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CP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CY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DH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DQ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D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M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V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AE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AN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AW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BF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BO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BX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CG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CP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CY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DH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DQ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</commentList>
</comments>
</file>

<file path=xl/sharedStrings.xml><?xml version="1.0" encoding="utf-8"?>
<sst xmlns="http://schemas.openxmlformats.org/spreadsheetml/2006/main" count="250" uniqueCount="72">
  <si>
    <t>Frequency</t>
  </si>
  <si>
    <t>Weights</t>
  </si>
  <si>
    <t>Cluster</t>
  </si>
  <si>
    <t>Means</t>
  </si>
  <si>
    <t>Variance</t>
  </si>
  <si>
    <t>X</t>
  </si>
  <si>
    <t>Iteration</t>
  </si>
  <si>
    <t>Mean</t>
  </si>
  <si>
    <t>SD</t>
  </si>
  <si>
    <t>Step</t>
  </si>
  <si>
    <t>Y1</t>
  </si>
  <si>
    <t>Y2</t>
  </si>
  <si>
    <t>From</t>
  </si>
  <si>
    <t>To</t>
  </si>
  <si>
    <t>Histogram: Frequency of data occuring in each bin</t>
  </si>
  <si>
    <t>Source</t>
  </si>
  <si>
    <t>Source Data Generator</t>
  </si>
  <si>
    <t>Source Data Frozen</t>
  </si>
  <si>
    <t>Normalisation</t>
  </si>
  <si>
    <t>a</t>
  </si>
  <si>
    <t>b</t>
  </si>
  <si>
    <t>Weights in each Gaussian</t>
  </si>
  <si>
    <t>To Calculate new Mean</t>
  </si>
  <si>
    <t>To Calculate Variance</t>
  </si>
  <si>
    <t>sum(bi)</t>
  </si>
  <si>
    <t>sum(ai)</t>
  </si>
  <si>
    <t>sum(bi.xi)</t>
  </si>
  <si>
    <t>sum(ai.xi)</t>
  </si>
  <si>
    <t>sum(bi.(xi-mui)^2)</t>
  </si>
  <si>
    <t>sum(ai.(xi-mui)^2)</t>
  </si>
  <si>
    <t>stdev = sqrt(var)</t>
  </si>
  <si>
    <t>Total count</t>
  </si>
  <si>
    <t>Count</t>
  </si>
  <si>
    <t>Activity 1</t>
  </si>
  <si>
    <t>Original Data</t>
  </si>
  <si>
    <t>This data automatically updates to new random values</t>
  </si>
  <si>
    <t>Copy of data on the left. Prevents the models all changing whilst experimenting</t>
  </si>
  <si>
    <t>Model - based on addition of two Gaussians</t>
  </si>
  <si>
    <t>Gaussian 1</t>
  </si>
  <si>
    <t>Gaussian 2</t>
  </si>
  <si>
    <t>G1 + G2</t>
  </si>
  <si>
    <t>Butterfly Frequency</t>
  </si>
  <si>
    <t>Relative size of population</t>
  </si>
  <si>
    <t>G1</t>
  </si>
  <si>
    <t>G2</t>
  </si>
  <si>
    <t>Activity 2</t>
  </si>
  <si>
    <t>y</t>
  </si>
  <si>
    <t>x</t>
  </si>
  <si>
    <t>Weight</t>
  </si>
  <si>
    <t>Relative probability of point being from each Gaussian</t>
  </si>
  <si>
    <t>Y</t>
  </si>
  <si>
    <t>Updated values for next iteration</t>
  </si>
  <si>
    <t>n</t>
  </si>
  <si>
    <t>Parameter values for this iteration</t>
  </si>
  <si>
    <t>Probability of x given the distribution</t>
  </si>
  <si>
    <t>µ</t>
  </si>
  <si>
    <r>
      <t>σ</t>
    </r>
    <r>
      <rPr>
        <b/>
        <vertAlign val="superscript"/>
        <sz val="20"/>
        <color theme="1"/>
        <rFont val="Calibri"/>
        <family val="2"/>
      </rPr>
      <t>2</t>
    </r>
  </si>
  <si>
    <t>Population</t>
  </si>
  <si>
    <r>
      <rPr>
        <b/>
        <sz val="18"/>
        <color theme="1"/>
        <rFont val="Calibri"/>
        <family val="2"/>
        <scheme val="minor"/>
      </rPr>
      <t>a</t>
    </r>
    <r>
      <rPr>
        <b/>
        <vertAlign val="subscript"/>
        <sz val="18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 xml:space="preserve">
(% prob from population a)</t>
    </r>
  </si>
  <si>
    <r>
      <rPr>
        <b/>
        <sz val="18"/>
        <color theme="1"/>
        <rFont val="Calibri"/>
        <family val="2"/>
        <scheme val="minor"/>
      </rPr>
      <t>b</t>
    </r>
    <r>
      <rPr>
        <b/>
        <vertAlign val="subscript"/>
        <sz val="18"/>
        <color theme="1"/>
        <rFont val="Calibri"/>
        <family val="2"/>
        <scheme val="minor"/>
      </rPr>
      <t>i</t>
    </r>
    <r>
      <rPr>
        <b/>
        <sz val="18"/>
        <color theme="1"/>
        <rFont val="Calibri"/>
        <family val="2"/>
        <scheme val="minor"/>
      </rPr>
      <t xml:space="preserve"> = 1-a</t>
    </r>
    <r>
      <rPr>
        <b/>
        <vertAlign val="subscript"/>
        <sz val="18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 xml:space="preserve">
(% prob from population b)</t>
    </r>
  </si>
  <si>
    <r>
      <t>a</t>
    </r>
    <r>
      <rPr>
        <b/>
        <vertAlign val="subscript"/>
        <sz val="18"/>
        <color theme="1"/>
        <rFont val="Calibri"/>
        <family val="2"/>
        <scheme val="minor"/>
      </rPr>
      <t>i</t>
    </r>
    <r>
      <rPr>
        <b/>
        <sz val="18"/>
        <color theme="1"/>
        <rFont val="Calibri"/>
        <family val="2"/>
        <scheme val="minor"/>
      </rPr>
      <t xml:space="preserve"> . X</t>
    </r>
    <r>
      <rPr>
        <b/>
        <vertAlign val="subscript"/>
        <sz val="18"/>
        <color theme="1"/>
        <rFont val="Calibri"/>
        <family val="2"/>
        <scheme val="minor"/>
      </rPr>
      <t>i</t>
    </r>
  </si>
  <si>
    <r>
      <t>b</t>
    </r>
    <r>
      <rPr>
        <b/>
        <vertAlign val="subscript"/>
        <sz val="18"/>
        <color theme="1"/>
        <rFont val="Calibri"/>
        <family val="2"/>
        <scheme val="minor"/>
      </rPr>
      <t>i</t>
    </r>
    <r>
      <rPr>
        <b/>
        <sz val="18"/>
        <color theme="1"/>
        <rFont val="Calibri"/>
        <family val="2"/>
        <scheme val="minor"/>
      </rPr>
      <t>.X</t>
    </r>
    <r>
      <rPr>
        <b/>
        <vertAlign val="subscript"/>
        <sz val="18"/>
        <color theme="1"/>
        <rFont val="Calibri"/>
        <family val="2"/>
        <scheme val="minor"/>
      </rPr>
      <t>i</t>
    </r>
  </si>
  <si>
    <r>
      <t>a</t>
    </r>
    <r>
      <rPr>
        <b/>
        <vertAlign val="subscript"/>
        <sz val="14"/>
        <color theme="1"/>
        <rFont val="Calibri"/>
        <family val="2"/>
        <scheme val="minor"/>
      </rPr>
      <t>i</t>
    </r>
    <r>
      <rPr>
        <b/>
        <sz val="14"/>
        <color theme="1"/>
        <rFont val="Calibri"/>
        <family val="2"/>
        <scheme val="minor"/>
      </rPr>
      <t>.(X</t>
    </r>
    <r>
      <rPr>
        <b/>
        <vertAlign val="subscript"/>
        <sz val="14"/>
        <color theme="1"/>
        <rFont val="Calibri"/>
        <family val="2"/>
        <scheme val="minor"/>
      </rPr>
      <t>i</t>
    </r>
    <r>
      <rPr>
        <b/>
        <sz val="14"/>
        <color theme="1"/>
        <rFont val="Calibri"/>
        <family val="2"/>
        <scheme val="minor"/>
      </rPr>
      <t>-</t>
    </r>
    <r>
      <rPr>
        <b/>
        <sz val="14"/>
        <color theme="1"/>
        <rFont val="Calibri"/>
        <family val="2"/>
      </rPr>
      <t>µ</t>
    </r>
    <r>
      <rPr>
        <b/>
        <vertAlign val="subscript"/>
        <sz val="14"/>
        <color theme="1"/>
        <rFont val="Calibri"/>
        <family val="2"/>
        <scheme val="minor"/>
      </rPr>
      <t>i</t>
    </r>
    <r>
      <rPr>
        <b/>
        <sz val="14"/>
        <color theme="1"/>
        <rFont val="Calibri"/>
        <family val="2"/>
        <scheme val="minor"/>
      </rPr>
      <t>)</t>
    </r>
    <r>
      <rPr>
        <b/>
        <vertAlign val="superscript"/>
        <sz val="14"/>
        <color theme="1"/>
        <rFont val="Calibri"/>
        <family val="2"/>
        <scheme val="minor"/>
      </rPr>
      <t>2</t>
    </r>
  </si>
  <si>
    <r>
      <t>p(X</t>
    </r>
    <r>
      <rPr>
        <b/>
        <vertAlign val="subscript"/>
        <sz val="16"/>
        <color theme="1"/>
        <rFont val="Calibri"/>
        <family val="2"/>
        <scheme val="minor"/>
      </rPr>
      <t>i</t>
    </r>
    <r>
      <rPr>
        <b/>
        <sz val="16"/>
        <color theme="1"/>
        <rFont val="Calibri"/>
        <family val="2"/>
        <scheme val="minor"/>
      </rPr>
      <t>|a)</t>
    </r>
  </si>
  <si>
    <r>
      <t>p(X</t>
    </r>
    <r>
      <rPr>
        <b/>
        <vertAlign val="subscript"/>
        <sz val="16"/>
        <color theme="1"/>
        <rFont val="Calibri"/>
        <family val="2"/>
        <scheme val="minor"/>
      </rPr>
      <t>i</t>
    </r>
    <r>
      <rPr>
        <b/>
        <sz val="16"/>
        <color theme="1"/>
        <rFont val="Calibri"/>
        <family val="2"/>
        <scheme val="minor"/>
      </rPr>
      <t>|b)</t>
    </r>
  </si>
  <si>
    <r>
      <t>b</t>
    </r>
    <r>
      <rPr>
        <b/>
        <vertAlign val="subscript"/>
        <sz val="14"/>
        <color theme="1"/>
        <rFont val="Calibri"/>
        <family val="2"/>
        <scheme val="minor"/>
      </rPr>
      <t>i</t>
    </r>
    <r>
      <rPr>
        <b/>
        <sz val="14"/>
        <color theme="1"/>
        <rFont val="Calibri"/>
        <family val="2"/>
        <scheme val="minor"/>
      </rPr>
      <t>.(X</t>
    </r>
    <r>
      <rPr>
        <b/>
        <vertAlign val="subscript"/>
        <sz val="14"/>
        <color theme="1"/>
        <rFont val="Calibri"/>
        <family val="2"/>
        <scheme val="minor"/>
      </rPr>
      <t>i</t>
    </r>
    <r>
      <rPr>
        <b/>
        <sz val="14"/>
        <color theme="1"/>
        <rFont val="Calibri"/>
        <family val="2"/>
        <scheme val="minor"/>
      </rPr>
      <t>-</t>
    </r>
    <r>
      <rPr>
        <b/>
        <sz val="14"/>
        <color theme="1"/>
        <rFont val="Calibri"/>
        <family val="2"/>
      </rPr>
      <t>µ</t>
    </r>
    <r>
      <rPr>
        <b/>
        <vertAlign val="subscript"/>
        <sz val="14"/>
        <color theme="1"/>
        <rFont val="Calibri"/>
        <family val="2"/>
        <scheme val="minor"/>
      </rPr>
      <t>i</t>
    </r>
    <r>
      <rPr>
        <b/>
        <sz val="14"/>
        <color theme="1"/>
        <rFont val="Calibri"/>
        <family val="2"/>
        <scheme val="minor"/>
      </rPr>
      <t>)</t>
    </r>
    <r>
      <rPr>
        <b/>
        <vertAlign val="superscript"/>
        <sz val="14"/>
        <color theme="1"/>
        <rFont val="Calibri"/>
        <family val="2"/>
        <scheme val="minor"/>
      </rPr>
      <t>2</t>
    </r>
  </si>
  <si>
    <t>% prob from a</t>
  </si>
  <si>
    <t>% prob from b</t>
  </si>
  <si>
    <t>p( x | a )</t>
  </si>
  <si>
    <t>p( x | b )</t>
  </si>
  <si>
    <t>Gaussian a</t>
  </si>
  <si>
    <t>Gaussian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</si>
</sst>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64" formatCode="0.000"/>
    <numFmt numFmtId="165" formatCode="0.0E+00"/>
    <numFmt numFmtId="166" formatCode="0.0"/>
    <numFmt numFmtId="167" formatCode="0.0000"/>
    <numFmt numFmtId="182" formatCode="0E+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28"/>
      <color rgb="FF000000"/>
      <name val="Calibri"/>
      <family val="2"/>
    </font>
    <font>
      <b/>
      <sz val="16"/>
      <color theme="1"/>
      <name val="Calibri"/>
      <family val="2"/>
    </font>
    <font>
      <b/>
      <sz val="20"/>
      <color theme="1"/>
      <name val="Calibri"/>
      <family val="2"/>
    </font>
    <font>
      <b/>
      <vertAlign val="superscript"/>
      <sz val="20"/>
      <color theme="1"/>
      <name val="Calibri"/>
      <family val="2"/>
    </font>
    <font>
      <b/>
      <vertAlign val="subscript"/>
      <sz val="14"/>
      <color theme="1"/>
      <name val="Calibri"/>
      <family val="2"/>
      <scheme val="minor"/>
    </font>
    <font>
      <b/>
      <vertAlign val="subscript"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vertAlign val="subscript"/>
      <sz val="18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vertAlign val="superscript"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19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0" fillId="0" borderId="6" xfId="0" applyBorder="1"/>
    <xf numFmtId="0" fontId="3" fillId="5" borderId="0" xfId="0" applyFont="1" applyFill="1" applyAlignment="1">
      <alignment horizontal="right"/>
    </xf>
    <xf numFmtId="0" fontId="1" fillId="5" borderId="0" xfId="0" applyFont="1" applyFill="1" applyAlignment="1">
      <alignment horizontal="right"/>
    </xf>
    <xf numFmtId="0" fontId="0" fillId="5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0" borderId="0" xfId="0" applyFont="1" applyAlignment="1">
      <alignment vertical="center"/>
    </xf>
    <xf numFmtId="0" fontId="0" fillId="2" borderId="1" xfId="0" applyFill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0" borderId="8" xfId="0" applyBorder="1"/>
    <xf numFmtId="0" fontId="1" fillId="0" borderId="12" xfId="0" applyFont="1" applyBorder="1" applyAlignment="1">
      <alignment horizontal="center" vertical="center"/>
    </xf>
    <xf numFmtId="2" fontId="1" fillId="0" borderId="13" xfId="0" applyNumberFormat="1" applyFont="1" applyBorder="1" applyAlignment="1">
      <alignment horizontal="center" vertical="center"/>
    </xf>
    <xf numFmtId="1" fontId="1" fillId="0" borderId="12" xfId="0" applyNumberFormat="1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2" fontId="0" fillId="6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9" fontId="0" fillId="0" borderId="13" xfId="1" applyFont="1" applyBorder="1" applyAlignment="1">
      <alignment horizontal="center"/>
    </xf>
    <xf numFmtId="9" fontId="0" fillId="0" borderId="15" xfId="1" applyFont="1" applyBorder="1" applyAlignment="1">
      <alignment horizontal="center"/>
    </xf>
    <xf numFmtId="9" fontId="0" fillId="0" borderId="12" xfId="1" applyFon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9" fontId="0" fillId="0" borderId="14" xfId="1" applyFont="1" applyBorder="1" applyAlignment="1">
      <alignment horizontal="center"/>
    </xf>
    <xf numFmtId="2" fontId="1" fillId="0" borderId="2" xfId="0" applyNumberFormat="1" applyFont="1" applyBorder="1" applyAlignment="1">
      <alignment horizontal="center"/>
    </xf>
    <xf numFmtId="166" fontId="0" fillId="5" borderId="0" xfId="0" applyNumberFormat="1" applyFill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0" fontId="0" fillId="0" borderId="0" xfId="0" applyBorder="1" applyAlignment="1">
      <alignment horizontal="center" vertical="center"/>
    </xf>
    <xf numFmtId="2" fontId="0" fillId="0" borderId="0" xfId="0" applyNumberFormat="1" applyBorder="1" applyAlignment="1">
      <alignment horizontal="center"/>
    </xf>
    <xf numFmtId="9" fontId="0" fillId="0" borderId="0" xfId="1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5" fillId="0" borderId="0" xfId="0" applyFont="1" applyAlignment="1">
      <alignment horizontal="center" vertical="center"/>
    </xf>
    <xf numFmtId="164" fontId="0" fillId="5" borderId="0" xfId="0" applyNumberFormat="1" applyFill="1" applyAlignment="1">
      <alignment horizontal="center"/>
    </xf>
    <xf numFmtId="167" fontId="0" fillId="0" borderId="12" xfId="0" applyNumberFormat="1" applyBorder="1" applyAlignment="1">
      <alignment horizontal="center"/>
    </xf>
    <xf numFmtId="167" fontId="0" fillId="0" borderId="13" xfId="1" applyNumberFormat="1" applyFont="1" applyBorder="1" applyAlignment="1">
      <alignment horizontal="center"/>
    </xf>
    <xf numFmtId="0" fontId="1" fillId="0" borderId="0" xfId="0" applyFont="1" applyAlignment="1">
      <alignment horizontal="right" vertical="center"/>
    </xf>
    <xf numFmtId="0" fontId="6" fillId="0" borderId="0" xfId="0" applyFont="1"/>
    <xf numFmtId="2" fontId="0" fillId="6" borderId="21" xfId="0" applyNumberFormat="1" applyFill="1" applyBorder="1" applyAlignment="1">
      <alignment horizontal="center" vertical="center"/>
    </xf>
    <xf numFmtId="2" fontId="0" fillId="3" borderId="21" xfId="0" applyNumberFormat="1" applyFill="1" applyBorder="1" applyAlignment="1">
      <alignment horizontal="center"/>
    </xf>
    <xf numFmtId="0" fontId="6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23" xfId="0" applyFont="1" applyBorder="1" applyAlignment="1">
      <alignment horizontal="center" vertical="center"/>
    </xf>
    <xf numFmtId="1" fontId="1" fillId="0" borderId="23" xfId="0" applyNumberFormat="1" applyFon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/>
    </xf>
    <xf numFmtId="9" fontId="1" fillId="0" borderId="12" xfId="1" applyFont="1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9" fontId="1" fillId="0" borderId="13" xfId="0" applyNumberFormat="1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center"/>
    </xf>
    <xf numFmtId="2" fontId="1" fillId="0" borderId="0" xfId="0" applyNumberFormat="1" applyFont="1" applyAlignment="1">
      <alignment horizontal="center"/>
    </xf>
    <xf numFmtId="9" fontId="0" fillId="0" borderId="0" xfId="1" applyFont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24" xfId="0" applyFont="1" applyBorder="1" applyAlignment="1">
      <alignment horizontal="right"/>
    </xf>
    <xf numFmtId="0" fontId="1" fillId="0" borderId="27" xfId="0" applyFont="1" applyBorder="1" applyAlignment="1">
      <alignment horizontal="right"/>
    </xf>
    <xf numFmtId="9" fontId="0" fillId="0" borderId="28" xfId="1" applyFont="1" applyBorder="1" applyAlignment="1">
      <alignment horizontal="center"/>
    </xf>
    <xf numFmtId="9" fontId="0" fillId="0" borderId="29" xfId="1" applyFont="1" applyBorder="1" applyAlignment="1">
      <alignment horizontal="center"/>
    </xf>
    <xf numFmtId="2" fontId="0" fillId="0" borderId="25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8" fillId="0" borderId="0" xfId="0" applyFont="1"/>
    <xf numFmtId="0" fontId="8" fillId="0" borderId="0" xfId="0" applyFont="1" applyAlignment="1">
      <alignment horizontal="center"/>
    </xf>
    <xf numFmtId="166" fontId="0" fillId="0" borderId="28" xfId="0" applyNumberFormat="1" applyBorder="1" applyAlignment="1">
      <alignment horizontal="center" vertical="center"/>
    </xf>
    <xf numFmtId="1" fontId="0" fillId="0" borderId="29" xfId="0" applyNumberForma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4" borderId="12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 vertical="center"/>
    </xf>
    <xf numFmtId="2" fontId="1" fillId="4" borderId="13" xfId="0" applyNumberFormat="1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9" fontId="1" fillId="4" borderId="12" xfId="1" applyFont="1" applyFill="1" applyBorder="1" applyAlignment="1">
      <alignment horizontal="center" vertical="center"/>
    </xf>
    <xf numFmtId="9" fontId="1" fillId="4" borderId="13" xfId="0" applyNumberFormat="1" applyFont="1" applyFill="1" applyBorder="1" applyAlignment="1">
      <alignment horizontal="center" vertical="center"/>
    </xf>
    <xf numFmtId="166" fontId="1" fillId="4" borderId="23" xfId="0" applyNumberFormat="1" applyFont="1" applyFill="1" applyBorder="1" applyAlignment="1">
      <alignment horizontal="center" vertical="center"/>
    </xf>
    <xf numFmtId="166" fontId="1" fillId="4" borderId="13" xfId="0" applyNumberFormat="1" applyFont="1" applyFill="1" applyBorder="1" applyAlignment="1">
      <alignment horizontal="center" vertical="center"/>
    </xf>
    <xf numFmtId="1" fontId="1" fillId="4" borderId="12" xfId="0" applyNumberFormat="1" applyFont="1" applyFill="1" applyBorder="1" applyAlignment="1">
      <alignment horizontal="center" vertical="center"/>
    </xf>
    <xf numFmtId="0" fontId="0" fillId="4" borderId="5" xfId="0" applyFill="1" applyBorder="1"/>
    <xf numFmtId="0" fontId="0" fillId="4" borderId="6" xfId="0" applyFill="1" applyBorder="1"/>
    <xf numFmtId="2" fontId="0" fillId="4" borderId="0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5" xfId="0" applyNumberFormat="1" applyFill="1" applyBorder="1" applyAlignment="1">
      <alignment horizontal="center" vertical="center"/>
    </xf>
    <xf numFmtId="0" fontId="0" fillId="4" borderId="7" xfId="0" applyFill="1" applyBorder="1"/>
    <xf numFmtId="2" fontId="0" fillId="4" borderId="8" xfId="0" applyNumberFormat="1" applyFill="1" applyBorder="1" applyAlignment="1">
      <alignment horizontal="center" vertical="center"/>
    </xf>
    <xf numFmtId="2" fontId="0" fillId="4" borderId="9" xfId="0" applyNumberFormat="1" applyFill="1" applyBorder="1" applyAlignment="1">
      <alignment horizontal="center" vertical="center"/>
    </xf>
    <xf numFmtId="2" fontId="0" fillId="4" borderId="7" xfId="0" applyNumberFormat="1" applyFill="1" applyBorder="1" applyAlignment="1">
      <alignment horizontal="center" vertical="center"/>
    </xf>
    <xf numFmtId="0" fontId="0" fillId="4" borderId="8" xfId="0" applyFill="1" applyBorder="1"/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43" fontId="0" fillId="0" borderId="0" xfId="2" applyFont="1"/>
    <xf numFmtId="0" fontId="9" fillId="0" borderId="0" xfId="0" applyFont="1" applyAlignment="1">
      <alignment vertical="center"/>
    </xf>
    <xf numFmtId="0" fontId="6" fillId="0" borderId="24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4" xfId="0" applyFont="1" applyBorder="1" applyAlignment="1">
      <alignment horizontal="right" vertical="center"/>
    </xf>
    <xf numFmtId="166" fontId="9" fillId="0" borderId="28" xfId="0" applyNumberFormat="1" applyFont="1" applyBorder="1" applyAlignment="1">
      <alignment horizontal="center" vertical="center"/>
    </xf>
    <xf numFmtId="1" fontId="9" fillId="0" borderId="29" xfId="0" applyNumberFormat="1" applyFont="1" applyBorder="1" applyAlignment="1">
      <alignment horizontal="center" vertical="center"/>
    </xf>
    <xf numFmtId="2" fontId="9" fillId="0" borderId="25" xfId="0" applyNumberFormat="1" applyFont="1" applyBorder="1" applyAlignment="1">
      <alignment horizontal="center" vertical="center"/>
    </xf>
    <xf numFmtId="2" fontId="9" fillId="0" borderId="26" xfId="0" applyNumberFormat="1" applyFont="1" applyBorder="1" applyAlignment="1">
      <alignment horizontal="center" vertical="center"/>
    </xf>
    <xf numFmtId="0" fontId="6" fillId="0" borderId="27" xfId="0" applyFont="1" applyBorder="1" applyAlignment="1">
      <alignment horizontal="right" vertical="center"/>
    </xf>
    <xf numFmtId="9" fontId="9" fillId="0" borderId="28" xfId="1" applyFont="1" applyBorder="1" applyAlignment="1">
      <alignment horizontal="center" vertical="center"/>
    </xf>
    <xf numFmtId="9" fontId="9" fillId="0" borderId="29" xfId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0" fillId="5" borderId="1" xfId="0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166" fontId="0" fillId="5" borderId="1" xfId="0" applyNumberFormat="1" applyFill="1" applyBorder="1" applyAlignment="1">
      <alignment horizontal="center"/>
    </xf>
    <xf numFmtId="0" fontId="0" fillId="0" borderId="12" xfId="0" applyBorder="1"/>
    <xf numFmtId="0" fontId="3" fillId="0" borderId="13" xfId="0" applyFont="1" applyBorder="1" applyAlignment="1">
      <alignment horizontal="center"/>
    </xf>
    <xf numFmtId="0" fontId="3" fillId="5" borderId="12" xfId="0" applyFont="1" applyFill="1" applyBorder="1" applyAlignment="1">
      <alignment horizontal="right"/>
    </xf>
    <xf numFmtId="0" fontId="0" fillId="0" borderId="13" xfId="0" applyBorder="1"/>
    <xf numFmtId="0" fontId="1" fillId="5" borderId="12" xfId="0" applyFont="1" applyFill="1" applyBorder="1" applyAlignment="1">
      <alignment horizontal="right"/>
    </xf>
    <xf numFmtId="0" fontId="0" fillId="5" borderId="13" xfId="0" applyFill="1" applyBorder="1" applyAlignment="1">
      <alignment horizontal="center"/>
    </xf>
    <xf numFmtId="164" fontId="0" fillId="5" borderId="13" xfId="0" applyNumberFormat="1" applyFill="1" applyBorder="1" applyAlignment="1">
      <alignment horizontal="center"/>
    </xf>
    <xf numFmtId="166" fontId="0" fillId="5" borderId="13" xfId="0" applyNumberFormat="1" applyFill="1" applyBorder="1" applyAlignment="1">
      <alignment horizontal="center"/>
    </xf>
    <xf numFmtId="0" fontId="1" fillId="5" borderId="14" xfId="0" applyFont="1" applyFill="1" applyBorder="1" applyAlignment="1">
      <alignment horizontal="right"/>
    </xf>
    <xf numFmtId="2" fontId="0" fillId="5" borderId="30" xfId="0" applyNumberFormat="1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3" fillId="5" borderId="12" xfId="0" applyFont="1" applyFill="1" applyBorder="1" applyAlignment="1">
      <alignment horizontal="right" vertical="center"/>
    </xf>
    <xf numFmtId="0" fontId="1" fillId="5" borderId="12" xfId="0" applyFont="1" applyFill="1" applyBorder="1" applyAlignment="1">
      <alignment horizontal="right" vertical="center"/>
    </xf>
    <xf numFmtId="0" fontId="1" fillId="5" borderId="14" xfId="0" applyFont="1" applyFill="1" applyBorder="1" applyAlignment="1">
      <alignment horizontal="right" vertical="center"/>
    </xf>
    <xf numFmtId="0" fontId="10" fillId="5" borderId="1" xfId="0" applyFont="1" applyFill="1" applyBorder="1" applyAlignment="1">
      <alignment horizontal="center"/>
    </xf>
    <xf numFmtId="0" fontId="0" fillId="5" borderId="13" xfId="0" applyFont="1" applyFill="1" applyBorder="1"/>
    <xf numFmtId="0" fontId="0" fillId="5" borderId="1" xfId="0" applyFont="1" applyFill="1" applyBorder="1" applyAlignment="1">
      <alignment horizontal="center"/>
    </xf>
    <xf numFmtId="0" fontId="0" fillId="5" borderId="13" xfId="0" applyFont="1" applyFill="1" applyBorder="1" applyAlignment="1">
      <alignment horizontal="center"/>
    </xf>
    <xf numFmtId="166" fontId="0" fillId="2" borderId="1" xfId="0" applyNumberFormat="1" applyFont="1" applyFill="1" applyBorder="1" applyAlignment="1">
      <alignment horizontal="center"/>
    </xf>
    <xf numFmtId="166" fontId="0" fillId="2" borderId="13" xfId="0" applyNumberFormat="1" applyFont="1" applyFill="1" applyBorder="1" applyAlignment="1">
      <alignment horizontal="center"/>
    </xf>
    <xf numFmtId="2" fontId="0" fillId="5" borderId="1" xfId="0" applyNumberFormat="1" applyFont="1" applyFill="1" applyBorder="1" applyAlignment="1">
      <alignment horizontal="center"/>
    </xf>
    <xf numFmtId="2" fontId="0" fillId="5" borderId="13" xfId="0" applyNumberFormat="1" applyFont="1" applyFill="1" applyBorder="1" applyAlignment="1">
      <alignment horizontal="center"/>
    </xf>
    <xf numFmtId="2" fontId="0" fillId="5" borderId="30" xfId="0" applyNumberFormat="1" applyFont="1" applyFill="1" applyBorder="1" applyAlignment="1">
      <alignment horizontal="center"/>
    </xf>
    <xf numFmtId="2" fontId="0" fillId="5" borderId="15" xfId="0" applyNumberFormat="1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 indent="1"/>
    </xf>
    <xf numFmtId="0" fontId="3" fillId="0" borderId="12" xfId="0" applyFont="1" applyBorder="1" applyAlignment="1">
      <alignment horizontal="right"/>
    </xf>
    <xf numFmtId="0" fontId="3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1" fillId="0" borderId="19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1" fillId="0" borderId="20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9" fontId="0" fillId="0" borderId="12" xfId="1" applyNumberFormat="1" applyFont="1" applyBorder="1" applyAlignment="1">
      <alignment horizontal="center"/>
    </xf>
    <xf numFmtId="9" fontId="0" fillId="0" borderId="13" xfId="1" applyNumberFormat="1" applyFont="1" applyBorder="1" applyAlignment="1">
      <alignment horizontal="center"/>
    </xf>
    <xf numFmtId="182" fontId="0" fillId="0" borderId="0" xfId="0" applyNumberFormat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 b="1" i="0" baseline="0">
                <a:effectLst/>
              </a:rPr>
              <a:t>Num butterflies of wing size 'x' mm + Model</a:t>
            </a:r>
            <a:endParaRPr lang="en-GB" sz="1400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'Activity 1'!$L$4</c:f>
              <c:strCache>
                <c:ptCount val="1"/>
                <c:pt idx="0">
                  <c:v>Butterfly Frequency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'Activity 1'!$M$6:$AR$6</c:f>
              <c:numCache>
                <c:formatCode>General</c:formatCode>
                <c:ptCount val="3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</c:numCache>
            </c:numRef>
          </c:cat>
          <c:val>
            <c:numRef>
              <c:f>'Activity 1'!$M$4:$AR$4</c:f>
              <c:numCache>
                <c:formatCode>General</c:formatCode>
                <c:ptCount val="32"/>
                <c:pt idx="0">
                  <c:v>3</c:v>
                </c:pt>
                <c:pt idx="1">
                  <c:v>9</c:v>
                </c:pt>
                <c:pt idx="2">
                  <c:v>7</c:v>
                </c:pt>
                <c:pt idx="3">
                  <c:v>20</c:v>
                </c:pt>
                <c:pt idx="4">
                  <c:v>27</c:v>
                </c:pt>
                <c:pt idx="5">
                  <c:v>34</c:v>
                </c:pt>
                <c:pt idx="6">
                  <c:v>45</c:v>
                </c:pt>
                <c:pt idx="7">
                  <c:v>52</c:v>
                </c:pt>
                <c:pt idx="8">
                  <c:v>47</c:v>
                </c:pt>
                <c:pt idx="9">
                  <c:v>54</c:v>
                </c:pt>
                <c:pt idx="10">
                  <c:v>39</c:v>
                </c:pt>
                <c:pt idx="11">
                  <c:v>49</c:v>
                </c:pt>
                <c:pt idx="12">
                  <c:v>29</c:v>
                </c:pt>
                <c:pt idx="13">
                  <c:v>27</c:v>
                </c:pt>
                <c:pt idx="14">
                  <c:v>25</c:v>
                </c:pt>
                <c:pt idx="15">
                  <c:v>22</c:v>
                </c:pt>
                <c:pt idx="16">
                  <c:v>19</c:v>
                </c:pt>
                <c:pt idx="17">
                  <c:v>39</c:v>
                </c:pt>
                <c:pt idx="18">
                  <c:v>49</c:v>
                </c:pt>
                <c:pt idx="19">
                  <c:v>63</c:v>
                </c:pt>
                <c:pt idx="20">
                  <c:v>62</c:v>
                </c:pt>
                <c:pt idx="21">
                  <c:v>74</c:v>
                </c:pt>
                <c:pt idx="22">
                  <c:v>61</c:v>
                </c:pt>
                <c:pt idx="23">
                  <c:v>54</c:v>
                </c:pt>
                <c:pt idx="24">
                  <c:v>34</c:v>
                </c:pt>
                <c:pt idx="25">
                  <c:v>24</c:v>
                </c:pt>
                <c:pt idx="26">
                  <c:v>6</c:v>
                </c:pt>
                <c:pt idx="27">
                  <c:v>3</c:v>
                </c:pt>
                <c:pt idx="28">
                  <c:v>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2"/>
        <c:axId val="305897856"/>
        <c:axId val="305899392"/>
      </c:barChart>
      <c:lineChart>
        <c:grouping val="standard"/>
        <c:varyColors val="0"/>
        <c:ser>
          <c:idx val="1"/>
          <c:order val="1"/>
          <c:tx>
            <c:strRef>
              <c:f>'Activity 1'!$L$13</c:f>
              <c:strCache>
                <c:ptCount val="1"/>
                <c:pt idx="0">
                  <c:v>G1 + G2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'Activity 1'!$M$13:$AR$13</c:f>
              <c:numCache>
                <c:formatCode>General</c:formatCode>
                <c:ptCount val="32"/>
                <c:pt idx="0">
                  <c:v>0.66915112882442684</c:v>
                </c:pt>
                <c:pt idx="1">
                  <c:v>5.1398867858344584E-15</c:v>
                </c:pt>
                <c:pt idx="2">
                  <c:v>5.4830327969448564E-40</c:v>
                </c:pt>
                <c:pt idx="3">
                  <c:v>8.123180183868041E-76</c:v>
                </c:pt>
                <c:pt idx="4">
                  <c:v>1.671357220897229E-122</c:v>
                </c:pt>
                <c:pt idx="5">
                  <c:v>4.7758472709744192E-180</c:v>
                </c:pt>
                <c:pt idx="6">
                  <c:v>1.8952632000464339E-248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897856"/>
        <c:axId val="305899392"/>
      </c:lineChart>
      <c:catAx>
        <c:axId val="305897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05899392"/>
        <c:crosses val="autoZero"/>
        <c:auto val="1"/>
        <c:lblAlgn val="ctr"/>
        <c:lblOffset val="100"/>
        <c:noMultiLvlLbl val="0"/>
      </c:catAx>
      <c:valAx>
        <c:axId val="30589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589785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GB" sz="1400"/>
              <a:t>Each model Gaussian shown separately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'Activity 1'!$L$11</c:f>
              <c:strCache>
                <c:ptCount val="1"/>
                <c:pt idx="0">
                  <c:v>Gaussian 1</c:v>
                </c:pt>
              </c:strCache>
            </c:strRef>
          </c:tx>
          <c:spPr>
            <a:ln w="508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'Activity 1'!$M$6:$AR$6</c:f>
              <c:numCache>
                <c:formatCode>General</c:formatCode>
                <c:ptCount val="3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</c:numCache>
            </c:numRef>
          </c:cat>
          <c:val>
            <c:numRef>
              <c:f>'Activity 1'!$M$11:$AR$11</c:f>
              <c:numCache>
                <c:formatCode>General</c:formatCode>
                <c:ptCount val="32"/>
                <c:pt idx="0">
                  <c:v>0.33457556441221342</c:v>
                </c:pt>
                <c:pt idx="1">
                  <c:v>2.5699433929172292E-15</c:v>
                </c:pt>
                <c:pt idx="2">
                  <c:v>2.7415163984724282E-40</c:v>
                </c:pt>
                <c:pt idx="3">
                  <c:v>4.0615900919340205E-76</c:v>
                </c:pt>
                <c:pt idx="4">
                  <c:v>8.356786104486145E-123</c:v>
                </c:pt>
                <c:pt idx="5">
                  <c:v>2.3879236354872096E-180</c:v>
                </c:pt>
                <c:pt idx="6">
                  <c:v>9.4763160002321697E-249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'Activity 1'!$L$12</c:f>
              <c:strCache>
                <c:ptCount val="1"/>
                <c:pt idx="0">
                  <c:v>Gaussian 2</c:v>
                </c:pt>
              </c:strCache>
            </c:strRef>
          </c:tx>
          <c:spPr>
            <a:ln w="508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'Activity 1'!$M$6:$AR$6</c:f>
              <c:numCache>
                <c:formatCode>General</c:formatCode>
                <c:ptCount val="3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</c:numCache>
            </c:numRef>
          </c:cat>
          <c:val>
            <c:numRef>
              <c:f>'Activity 1'!$M$12:$AR$12</c:f>
              <c:numCache>
                <c:formatCode>General</c:formatCode>
                <c:ptCount val="32"/>
                <c:pt idx="0">
                  <c:v>0.33457556441221342</c:v>
                </c:pt>
                <c:pt idx="1">
                  <c:v>2.5699433929172292E-15</c:v>
                </c:pt>
                <c:pt idx="2">
                  <c:v>2.7415163984724282E-40</c:v>
                </c:pt>
                <c:pt idx="3">
                  <c:v>4.0615900919340205E-76</c:v>
                </c:pt>
                <c:pt idx="4">
                  <c:v>8.356786104486145E-123</c:v>
                </c:pt>
                <c:pt idx="5">
                  <c:v>2.3879236354872096E-180</c:v>
                </c:pt>
                <c:pt idx="6">
                  <c:v>9.4763160002321697E-249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064000"/>
        <c:axId val="306069888"/>
      </c:lineChart>
      <c:catAx>
        <c:axId val="306064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06069888"/>
        <c:crosses val="autoZero"/>
        <c:auto val="1"/>
        <c:lblAlgn val="ctr"/>
        <c:lblOffset val="100"/>
        <c:noMultiLvlLbl val="0"/>
      </c:catAx>
      <c:valAx>
        <c:axId val="306069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606400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 b="1" i="0" baseline="0">
                <a:effectLst/>
              </a:rPr>
              <a:t>Num butterflies of wing size 'x' mm + Model</a:t>
            </a:r>
            <a:endParaRPr lang="en-GB" sz="1400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'Activity 2'!$N$4</c:f>
              <c:strCache>
                <c:ptCount val="1"/>
                <c:pt idx="0">
                  <c:v>Butterfly Frequency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'Activity 2'!$O$6:$AT$6</c:f>
              <c:numCache>
                <c:formatCode>General</c:formatCode>
                <c:ptCount val="3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</c:numCache>
            </c:numRef>
          </c:cat>
          <c:val>
            <c:numRef>
              <c:f>'Activity 2'!$O$4:$AT$4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11</c:v>
                </c:pt>
                <c:pt idx="6">
                  <c:v>19</c:v>
                </c:pt>
                <c:pt idx="7">
                  <c:v>48</c:v>
                </c:pt>
                <c:pt idx="8">
                  <c:v>133</c:v>
                </c:pt>
                <c:pt idx="9">
                  <c:v>192</c:v>
                </c:pt>
                <c:pt idx="10">
                  <c:v>273</c:v>
                </c:pt>
                <c:pt idx="11">
                  <c:v>278</c:v>
                </c:pt>
                <c:pt idx="12">
                  <c:v>229</c:v>
                </c:pt>
                <c:pt idx="13">
                  <c:v>129</c:v>
                </c:pt>
                <c:pt idx="14">
                  <c:v>65</c:v>
                </c:pt>
                <c:pt idx="15">
                  <c:v>50</c:v>
                </c:pt>
                <c:pt idx="16">
                  <c:v>32</c:v>
                </c:pt>
                <c:pt idx="17">
                  <c:v>30</c:v>
                </c:pt>
                <c:pt idx="18">
                  <c:v>29</c:v>
                </c:pt>
                <c:pt idx="19">
                  <c:v>52</c:v>
                </c:pt>
                <c:pt idx="20">
                  <c:v>37</c:v>
                </c:pt>
                <c:pt idx="21">
                  <c:v>54</c:v>
                </c:pt>
                <c:pt idx="22">
                  <c:v>49</c:v>
                </c:pt>
                <c:pt idx="23">
                  <c:v>47</c:v>
                </c:pt>
                <c:pt idx="24">
                  <c:v>42</c:v>
                </c:pt>
                <c:pt idx="25">
                  <c:v>26</c:v>
                </c:pt>
                <c:pt idx="26">
                  <c:v>22</c:v>
                </c:pt>
                <c:pt idx="27">
                  <c:v>19</c:v>
                </c:pt>
                <c:pt idx="28">
                  <c:v>15</c:v>
                </c:pt>
                <c:pt idx="29">
                  <c:v>4</c:v>
                </c:pt>
                <c:pt idx="30">
                  <c:v>6</c:v>
                </c:pt>
                <c:pt idx="31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2"/>
        <c:axId val="306193536"/>
        <c:axId val="306195072"/>
      </c:barChart>
      <c:lineChart>
        <c:grouping val="standard"/>
        <c:varyColors val="0"/>
        <c:ser>
          <c:idx val="1"/>
          <c:order val="1"/>
          <c:tx>
            <c:strRef>
              <c:f>'Activity 2'!$N$13</c:f>
              <c:strCache>
                <c:ptCount val="1"/>
                <c:pt idx="0">
                  <c:v>G1 + G2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'Activity 2'!$O$13:$AT$13</c:f>
              <c:numCache>
                <c:formatCode>General</c:formatCode>
                <c:ptCount val="32"/>
                <c:pt idx="0">
                  <c:v>1.2727254470240599</c:v>
                </c:pt>
                <c:pt idx="1">
                  <c:v>9.7760646666571393E-15</c:v>
                </c:pt>
                <c:pt idx="2">
                  <c:v>1.0428728379789119E-39</c:v>
                </c:pt>
                <c:pt idx="3">
                  <c:v>1.5450288709717012E-75</c:v>
                </c:pt>
                <c:pt idx="4">
                  <c:v>3.178921434146529E-122</c:v>
                </c:pt>
                <c:pt idx="5">
                  <c:v>9.0836615093933442E-180</c:v>
                </c:pt>
                <c:pt idx="6">
                  <c:v>3.6047906064883176E-248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193536"/>
        <c:axId val="306195072"/>
      </c:lineChart>
      <c:catAx>
        <c:axId val="306193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06195072"/>
        <c:crosses val="autoZero"/>
        <c:auto val="1"/>
        <c:lblAlgn val="ctr"/>
        <c:lblOffset val="100"/>
        <c:noMultiLvlLbl val="0"/>
      </c:catAx>
      <c:valAx>
        <c:axId val="306195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619353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GB" sz="1400"/>
              <a:t>Each model Gaussian shown separately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'Activity 2'!$N$11</c:f>
              <c:strCache>
                <c:ptCount val="1"/>
                <c:pt idx="0">
                  <c:v>Gaussian 1</c:v>
                </c:pt>
              </c:strCache>
            </c:strRef>
          </c:tx>
          <c:spPr>
            <a:ln w="508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'Activity 2'!$O$6:$AT$6</c:f>
              <c:numCache>
                <c:formatCode>General</c:formatCode>
                <c:ptCount val="3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</c:numCache>
            </c:numRef>
          </c:cat>
          <c:val>
            <c:numRef>
              <c:f>'Activity 2'!$O$11:$AT$11</c:f>
              <c:numCache>
                <c:formatCode>General</c:formatCode>
                <c:ptCount val="32"/>
                <c:pt idx="0">
                  <c:v>1.2727254470240599E-2</c:v>
                </c:pt>
                <c:pt idx="1">
                  <c:v>9.7760646666571391E-17</c:v>
                </c:pt>
                <c:pt idx="2">
                  <c:v>1.0428728379789118E-41</c:v>
                </c:pt>
                <c:pt idx="3">
                  <c:v>1.5450288709717013E-77</c:v>
                </c:pt>
                <c:pt idx="4">
                  <c:v>3.1789214341465293E-124</c:v>
                </c:pt>
                <c:pt idx="5">
                  <c:v>9.083661509393344E-182</c:v>
                </c:pt>
                <c:pt idx="6">
                  <c:v>3.6047906064883175E-250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'Activity 2'!$N$12</c:f>
              <c:strCache>
                <c:ptCount val="1"/>
                <c:pt idx="0">
                  <c:v>Gaussian 2</c:v>
                </c:pt>
              </c:strCache>
            </c:strRef>
          </c:tx>
          <c:spPr>
            <a:ln w="508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'Activity 2'!$O$6:$AT$6</c:f>
              <c:numCache>
                <c:formatCode>General</c:formatCode>
                <c:ptCount val="3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</c:numCache>
            </c:numRef>
          </c:cat>
          <c:val>
            <c:numRef>
              <c:f>'Activity 2'!$O$12:$AT$12</c:f>
              <c:numCache>
                <c:formatCode>General</c:formatCode>
                <c:ptCount val="32"/>
                <c:pt idx="0">
                  <c:v>1.2599981925538193</c:v>
                </c:pt>
                <c:pt idx="1">
                  <c:v>9.6783040199905672E-15</c:v>
                </c:pt>
                <c:pt idx="2">
                  <c:v>1.0324441095991228E-39</c:v>
                </c:pt>
                <c:pt idx="3">
                  <c:v>1.5295785822619842E-75</c:v>
                </c:pt>
                <c:pt idx="4">
                  <c:v>3.1471322198050638E-122</c:v>
                </c:pt>
                <c:pt idx="5">
                  <c:v>8.9928248942994108E-180</c:v>
                </c:pt>
                <c:pt idx="6">
                  <c:v>3.5687427004234346E-248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941312"/>
        <c:axId val="306152576"/>
      </c:lineChart>
      <c:catAx>
        <c:axId val="30694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06152576"/>
        <c:crosses val="autoZero"/>
        <c:auto val="1"/>
        <c:lblAlgn val="ctr"/>
        <c:lblOffset val="100"/>
        <c:noMultiLvlLbl val="0"/>
      </c:catAx>
      <c:valAx>
        <c:axId val="30615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694131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 b="1" i="0" baseline="0">
                <a:effectLst/>
              </a:rPr>
              <a:t>Num butterflies of wing size 'x' mm</a:t>
            </a:r>
            <a:endParaRPr lang="en-GB" sz="1400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'Activity 2'!$N$4</c:f>
              <c:strCache>
                <c:ptCount val="1"/>
                <c:pt idx="0">
                  <c:v>Butterfly Frequency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'Activity 2'!$O$6:$AT$6</c:f>
              <c:numCache>
                <c:formatCode>General</c:formatCode>
                <c:ptCount val="3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</c:numCache>
            </c:numRef>
          </c:cat>
          <c:val>
            <c:numRef>
              <c:f>'Activity 2'!$O$4:$AT$4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11</c:v>
                </c:pt>
                <c:pt idx="6">
                  <c:v>19</c:v>
                </c:pt>
                <c:pt idx="7">
                  <c:v>48</c:v>
                </c:pt>
                <c:pt idx="8">
                  <c:v>133</c:v>
                </c:pt>
                <c:pt idx="9">
                  <c:v>192</c:v>
                </c:pt>
                <c:pt idx="10">
                  <c:v>273</c:v>
                </c:pt>
                <c:pt idx="11">
                  <c:v>278</c:v>
                </c:pt>
                <c:pt idx="12">
                  <c:v>229</c:v>
                </c:pt>
                <c:pt idx="13">
                  <c:v>129</c:v>
                </c:pt>
                <c:pt idx="14">
                  <c:v>65</c:v>
                </c:pt>
                <c:pt idx="15">
                  <c:v>50</c:v>
                </c:pt>
                <c:pt idx="16">
                  <c:v>32</c:v>
                </c:pt>
                <c:pt idx="17">
                  <c:v>30</c:v>
                </c:pt>
                <c:pt idx="18">
                  <c:v>29</c:v>
                </c:pt>
                <c:pt idx="19">
                  <c:v>52</c:v>
                </c:pt>
                <c:pt idx="20">
                  <c:v>37</c:v>
                </c:pt>
                <c:pt idx="21">
                  <c:v>54</c:v>
                </c:pt>
                <c:pt idx="22">
                  <c:v>49</c:v>
                </c:pt>
                <c:pt idx="23">
                  <c:v>47</c:v>
                </c:pt>
                <c:pt idx="24">
                  <c:v>42</c:v>
                </c:pt>
                <c:pt idx="25">
                  <c:v>26</c:v>
                </c:pt>
                <c:pt idx="26">
                  <c:v>22</c:v>
                </c:pt>
                <c:pt idx="27">
                  <c:v>19</c:v>
                </c:pt>
                <c:pt idx="28">
                  <c:v>15</c:v>
                </c:pt>
                <c:pt idx="29">
                  <c:v>4</c:v>
                </c:pt>
                <c:pt idx="30">
                  <c:v>6</c:v>
                </c:pt>
                <c:pt idx="31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2"/>
        <c:axId val="306386432"/>
        <c:axId val="306387968"/>
      </c:barChart>
      <c:catAx>
        <c:axId val="30638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06387968"/>
        <c:crosses val="autoZero"/>
        <c:auto val="1"/>
        <c:lblAlgn val="ctr"/>
        <c:lblOffset val="100"/>
        <c:noMultiLvlLbl val="0"/>
      </c:catAx>
      <c:valAx>
        <c:axId val="306387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638643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Graph 2 : Data overlayed with 2 </a:t>
            </a:r>
            <a:br>
              <a:rPr lang="en-US" sz="1400"/>
            </a:br>
            <a:r>
              <a:rPr lang="en-US" sz="1400"/>
              <a:t>hypothesised Gaussians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'Activity 3'!$B$3</c:f>
              <c:strCache>
                <c:ptCount val="1"/>
                <c:pt idx="0">
                  <c:v>x</c:v>
                </c:pt>
              </c:strCache>
            </c:strRef>
          </c:tx>
          <c:spPr>
            <a:ln w="28575">
              <a:noFill/>
            </a:ln>
          </c:spPr>
          <c:xVal>
            <c:numRef>
              <c:f>'Activity 3'!$B$4:$B$16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17.5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</c:numCache>
            </c:numRef>
          </c:xVal>
          <c:yVal>
            <c:numRef>
              <c:f>'Activity 3'!$A$4:$A$16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'Activity 3'!$C$64</c:f>
              <c:strCache>
                <c:ptCount val="1"/>
                <c:pt idx="0">
                  <c:v>a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'Activity 3'!$B$65:$B$536</c:f>
              <c:numCache>
                <c:formatCode>0.0</c:formatCode>
                <c:ptCount val="472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</c:numCache>
            </c:numRef>
          </c:xVal>
          <c:yVal>
            <c:numRef>
              <c:f>'Activity 3'!$C$65:$C$536</c:f>
              <c:numCache>
                <c:formatCode>0.00</c:formatCode>
                <c:ptCount val="472"/>
                <c:pt idx="0">
                  <c:v>5.3990966513188052E-3</c:v>
                </c:pt>
                <c:pt idx="1">
                  <c:v>1.2951759566589168E-2</c:v>
                </c:pt>
                <c:pt idx="2">
                  <c:v>2.4197072451914336E-2</c:v>
                </c:pt>
                <c:pt idx="3">
                  <c:v>3.5206532676429952E-2</c:v>
                </c:pt>
                <c:pt idx="4">
                  <c:v>3.9894228040143268E-2</c:v>
                </c:pt>
                <c:pt idx="5">
                  <c:v>3.5206532676429952E-2</c:v>
                </c:pt>
                <c:pt idx="6">
                  <c:v>2.4197072451914336E-2</c:v>
                </c:pt>
                <c:pt idx="7">
                  <c:v>1.2951759566589184E-2</c:v>
                </c:pt>
                <c:pt idx="8">
                  <c:v>5.3990966513188096E-3</c:v>
                </c:pt>
                <c:pt idx="9">
                  <c:v>1.7528300493568577E-3</c:v>
                </c:pt>
                <c:pt idx="10">
                  <c:v>4.431848411938019E-4</c:v>
                </c:pt>
                <c:pt idx="11">
                  <c:v>8.7268269504576308E-5</c:v>
                </c:pt>
                <c:pt idx="12">
                  <c:v>1.3383022576488561E-5</c:v>
                </c:pt>
                <c:pt idx="13">
                  <c:v>1.5983741106905473E-6</c:v>
                </c:pt>
                <c:pt idx="14">
                  <c:v>1.4867195147342977E-7</c:v>
                </c:pt>
                <c:pt idx="15">
                  <c:v>1.0769760042543273E-8</c:v>
                </c:pt>
                <c:pt idx="16">
                  <c:v>6.0758828498232427E-10</c:v>
                </c:pt>
                <c:pt idx="17">
                  <c:v>2.6695566147628328E-11</c:v>
                </c:pt>
                <c:pt idx="18">
                  <c:v>9.1347204083644644E-13</c:v>
                </c:pt>
                <c:pt idx="19">
                  <c:v>2.4343205330289757E-14</c:v>
                </c:pt>
                <c:pt idx="20">
                  <c:v>5.0522710835368206E-16</c:v>
                </c:pt>
                <c:pt idx="21">
                  <c:v>8.166235631669434E-18</c:v>
                </c:pt>
                <c:pt idx="22">
                  <c:v>1.0279773571668625E-19</c:v>
                </c:pt>
                <c:pt idx="23">
                  <c:v>1.0077935394299654E-21</c:v>
                </c:pt>
                <c:pt idx="24">
                  <c:v>7.6945986267061475E-24</c:v>
                </c:pt>
                <c:pt idx="25">
                  <c:v>4.5753755905206431E-26</c:v>
                </c:pt>
                <c:pt idx="26">
                  <c:v>2.1188192535092331E-28</c:v>
                </c:pt>
                <c:pt idx="27">
                  <c:v>7.6416554115867693E-31</c:v>
                </c:pt>
                <c:pt idx="28">
                  <c:v>2.1463837356629381E-33</c:v>
                </c:pt>
                <c:pt idx="29">
                  <c:v>4.6951953579748127E-36</c:v>
                </c:pt>
                <c:pt idx="30">
                  <c:v>7.9988277570061288E-39</c:v>
                </c:pt>
                <c:pt idx="31">
                  <c:v>1.0612688139151105E-41</c:v>
                </c:pt>
                <c:pt idx="32">
                  <c:v>1.0966065593888623E-44</c:v>
                </c:pt>
                <c:pt idx="33">
                  <c:v>8.824754974593946E-48</c:v>
                </c:pt>
                <c:pt idx="34">
                  <c:v>5.5307095498437097E-51</c:v>
                </c:pt>
                <c:pt idx="35">
                  <c:v>2.6995130245882037E-54</c:v>
                </c:pt>
                <c:pt idx="36">
                  <c:v>1.0261630727917868E-57</c:v>
                </c:pt>
                <c:pt idx="37">
                  <c:v>3.0379016987894049E-61</c:v>
                </c:pt>
                <c:pt idx="38">
                  <c:v>7.0041821343173865E-65</c:v>
                </c:pt>
                <c:pt idx="39">
                  <c:v>1.2576723828779434E-68</c:v>
                </c:pt>
                <c:pt idx="40">
                  <c:v>1.7587495425949039E-72</c:v>
                </c:pt>
                <c:pt idx="41">
                  <c:v>1.9154324916716635E-76</c:v>
                </c:pt>
                <c:pt idx="42">
                  <c:v>1.6246360367735157E-80</c:v>
                </c:pt>
                <c:pt idx="43">
                  <c:v>1.0731778340682044E-84</c:v>
                </c:pt>
                <c:pt idx="44">
                  <c:v>5.5209483621597638E-89</c:v>
                </c:pt>
                <c:pt idx="45">
                  <c:v>2.2119843802107591E-93</c:v>
                </c:pt>
                <c:pt idx="46">
                  <c:v>6.9020294201278081E-98</c:v>
                </c:pt>
                <c:pt idx="47">
                  <c:v>1.6772505228546299E-102</c:v>
                </c:pt>
                <c:pt idx="48">
                  <c:v>3.1742815528258038E-107</c:v>
                </c:pt>
                <c:pt idx="49">
                  <c:v>4.6786368172511111E-112</c:v>
                </c:pt>
                <c:pt idx="50">
                  <c:v>5.3705603650218124E-117</c:v>
                </c:pt>
                <c:pt idx="51">
                  <c:v>4.8011607859085186E-122</c:v>
                </c:pt>
                <c:pt idx="52">
                  <c:v>3.3427144417955979E-127</c:v>
                </c:pt>
                <c:pt idx="53">
                  <c:v>1.8125027935523492E-132</c:v>
                </c:pt>
                <c:pt idx="54">
                  <c:v>7.6539297364228729E-138</c:v>
                </c:pt>
                <c:pt idx="55">
                  <c:v>2.5171937051948359E-143</c:v>
                </c:pt>
                <c:pt idx="56">
                  <c:v>6.4472599714015175E-149</c:v>
                </c:pt>
                <c:pt idx="57">
                  <c:v>1.2860566740722464E-154</c:v>
                </c:pt>
                <c:pt idx="58">
                  <c:v>1.9978892591696423E-160</c:v>
                </c:pt>
                <c:pt idx="59">
                  <c:v>2.4171805786214738E-166</c:v>
                </c:pt>
                <c:pt idx="60">
                  <c:v>2.2775774787384735E-172</c:v>
                </c:pt>
                <c:pt idx="61">
                  <c:v>1.6713353651315999E-178</c:v>
                </c:pt>
                <c:pt idx="62">
                  <c:v>9.5516945419575255E-185</c:v>
                </c:pt>
                <c:pt idx="63">
                  <c:v>4.2513183535319006E-191</c:v>
                </c:pt>
                <c:pt idx="64">
                  <c:v>1.4736461348801389E-197</c:v>
                </c:pt>
                <c:pt idx="65">
                  <c:v>3.9782234272868692E-204</c:v>
                </c:pt>
                <c:pt idx="66">
                  <c:v>8.3639516058664453E-211</c:v>
                </c:pt>
                <c:pt idx="67">
                  <c:v>1.3694943080816356E-217</c:v>
                </c:pt>
                <c:pt idx="68">
                  <c:v>1.7463662567611591E-224</c:v>
                </c:pt>
                <c:pt idx="69">
                  <c:v>1.7343502636091959E-231</c:v>
                </c:pt>
                <c:pt idx="70">
                  <c:v>1.341419667351571E-238</c:v>
                </c:pt>
                <c:pt idx="71">
                  <c:v>8.0801404138862263E-246</c:v>
                </c:pt>
                <c:pt idx="72">
                  <c:v>3.7905264000993322E-253</c:v>
                </c:pt>
                <c:pt idx="73">
                  <c:v>1.3848620783406122E-260</c:v>
                </c:pt>
                <c:pt idx="74">
                  <c:v>3.9403962771440879E-268</c:v>
                </c:pt>
                <c:pt idx="75">
                  <c:v>8.7317171006383807E-276</c:v>
                </c:pt>
                <c:pt idx="76">
                  <c:v>1.5069047176234782E-283</c:v>
                </c:pt>
                <c:pt idx="77">
                  <c:v>2.0253417162165813E-291</c:v>
                </c:pt>
                <c:pt idx="78">
                  <c:v>2.1200065515296671E-299</c:v>
                </c:pt>
                <c:pt idx="79">
                  <c:v>1.7282337322882313E-307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'Activity 3'!$D$64</c:f>
              <c:strCache>
                <c:ptCount val="1"/>
                <c:pt idx="0">
                  <c:v>b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'Activity 3'!$B$65:$B$536</c:f>
              <c:numCache>
                <c:formatCode>0.0</c:formatCode>
                <c:ptCount val="472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</c:numCache>
            </c:numRef>
          </c:xVal>
          <c:yVal>
            <c:numRef>
              <c:f>'Activity 3'!$D$65:$D$536</c:f>
              <c:numCache>
                <c:formatCode>0.00</c:formatCode>
                <c:ptCount val="472"/>
                <c:pt idx="0">
                  <c:v>0.53451056848056178</c:v>
                </c:pt>
                <c:pt idx="1">
                  <c:v>1.2822241970923276</c:v>
                </c:pt>
                <c:pt idx="2">
                  <c:v>2.3955101727395194</c:v>
                </c:pt>
                <c:pt idx="3">
                  <c:v>3.485446734966565</c:v>
                </c:pt>
                <c:pt idx="4">
                  <c:v>3.9495285759741838</c:v>
                </c:pt>
                <c:pt idx="5">
                  <c:v>3.485446734966565</c:v>
                </c:pt>
                <c:pt idx="6">
                  <c:v>2.3955101727395194</c:v>
                </c:pt>
                <c:pt idx="7">
                  <c:v>1.2822241970923292</c:v>
                </c:pt>
                <c:pt idx="8">
                  <c:v>0.53451056848056222</c:v>
                </c:pt>
                <c:pt idx="9">
                  <c:v>0.17353017488632891</c:v>
                </c:pt>
                <c:pt idx="10">
                  <c:v>4.387529927818639E-2</c:v>
                </c:pt>
                <c:pt idx="11">
                  <c:v>8.6395586809530547E-3</c:v>
                </c:pt>
                <c:pt idx="12">
                  <c:v>1.3249192350723675E-3</c:v>
                </c:pt>
                <c:pt idx="13">
                  <c:v>1.582390369583642E-4</c:v>
                </c:pt>
                <c:pt idx="14">
                  <c:v>1.4718523195869548E-5</c:v>
                </c:pt>
                <c:pt idx="15">
                  <c:v>1.0662062442117841E-6</c:v>
                </c:pt>
                <c:pt idx="16">
                  <c:v>6.0151240213250104E-8</c:v>
                </c:pt>
                <c:pt idx="17">
                  <c:v>2.6428610486152046E-9</c:v>
                </c:pt>
                <c:pt idx="18">
                  <c:v>9.0433732042808187E-11</c:v>
                </c:pt>
                <c:pt idx="19">
                  <c:v>2.4099773276986859E-12</c:v>
                </c:pt>
                <c:pt idx="20">
                  <c:v>5.0017483727014516E-14</c:v>
                </c:pt>
                <c:pt idx="21">
                  <c:v>8.0845732753527403E-16</c:v>
                </c:pt>
                <c:pt idx="22">
                  <c:v>1.0176975835951939E-17</c:v>
                </c:pt>
                <c:pt idx="23">
                  <c:v>9.9771560403566558E-20</c:v>
                </c:pt>
                <c:pt idx="24">
                  <c:v>7.6176526404390851E-22</c:v>
                </c:pt>
                <c:pt idx="25">
                  <c:v>4.5296218346154368E-24</c:v>
                </c:pt>
                <c:pt idx="26">
                  <c:v>2.0976310609741406E-26</c:v>
                </c:pt>
                <c:pt idx="27">
                  <c:v>7.5652388574709013E-29</c:v>
                </c:pt>
                <c:pt idx="28">
                  <c:v>2.1249198983063091E-31</c:v>
                </c:pt>
                <c:pt idx="29">
                  <c:v>4.6482434043950648E-34</c:v>
                </c:pt>
                <c:pt idx="30">
                  <c:v>7.9188394794360683E-37</c:v>
                </c:pt>
                <c:pt idx="31">
                  <c:v>1.0506561257759594E-39</c:v>
                </c:pt>
                <c:pt idx="32">
                  <c:v>1.0856404937949735E-42</c:v>
                </c:pt>
                <c:pt idx="33">
                  <c:v>8.7365074248480062E-46</c:v>
                </c:pt>
                <c:pt idx="34">
                  <c:v>5.4754024543452724E-49</c:v>
                </c:pt>
                <c:pt idx="35">
                  <c:v>2.6725178943423216E-52</c:v>
                </c:pt>
                <c:pt idx="36">
                  <c:v>1.0159014420638689E-55</c:v>
                </c:pt>
                <c:pt idx="37">
                  <c:v>3.0075226818015108E-59</c:v>
                </c:pt>
                <c:pt idx="38">
                  <c:v>6.9341403129742121E-63</c:v>
                </c:pt>
                <c:pt idx="39">
                  <c:v>1.245095659049164E-66</c:v>
                </c:pt>
                <c:pt idx="40">
                  <c:v>1.7411620471689546E-70</c:v>
                </c:pt>
                <c:pt idx="41">
                  <c:v>1.8962781667549466E-74</c:v>
                </c:pt>
                <c:pt idx="42">
                  <c:v>1.6083896764057805E-78</c:v>
                </c:pt>
                <c:pt idx="43">
                  <c:v>1.0624460557275222E-82</c:v>
                </c:pt>
                <c:pt idx="44">
                  <c:v>5.4657388785381654E-87</c:v>
                </c:pt>
                <c:pt idx="45">
                  <c:v>2.1898645364086513E-91</c:v>
                </c:pt>
                <c:pt idx="46">
                  <c:v>6.8330091259265303E-96</c:v>
                </c:pt>
                <c:pt idx="47">
                  <c:v>1.6604780176260837E-100</c:v>
                </c:pt>
                <c:pt idx="48">
                  <c:v>3.1425387372975453E-105</c:v>
                </c:pt>
                <c:pt idx="49">
                  <c:v>4.6318504490785994E-110</c:v>
                </c:pt>
                <c:pt idx="50">
                  <c:v>5.3168547613715938E-115</c:v>
                </c:pt>
                <c:pt idx="51">
                  <c:v>4.7531491780494332E-120</c:v>
                </c:pt>
                <c:pt idx="52">
                  <c:v>3.3092872973776416E-125</c:v>
                </c:pt>
                <c:pt idx="53">
                  <c:v>1.7943777656168257E-130</c:v>
                </c:pt>
                <c:pt idx="54">
                  <c:v>7.5773904390586446E-136</c:v>
                </c:pt>
                <c:pt idx="55">
                  <c:v>2.4920217681428877E-141</c:v>
                </c:pt>
                <c:pt idx="56">
                  <c:v>6.382787371687502E-147</c:v>
                </c:pt>
                <c:pt idx="57">
                  <c:v>1.273196107331524E-152</c:v>
                </c:pt>
                <c:pt idx="58">
                  <c:v>1.9779103665779458E-158</c:v>
                </c:pt>
                <c:pt idx="59">
                  <c:v>2.3930087728352591E-164</c:v>
                </c:pt>
                <c:pt idx="60">
                  <c:v>2.2548017039510884E-170</c:v>
                </c:pt>
                <c:pt idx="61">
                  <c:v>1.6546220114802839E-176</c:v>
                </c:pt>
                <c:pt idx="62">
                  <c:v>9.4561775965379496E-183</c:v>
                </c:pt>
                <c:pt idx="63">
                  <c:v>4.2088051699965818E-189</c:v>
                </c:pt>
                <c:pt idx="64">
                  <c:v>1.4589096735313376E-195</c:v>
                </c:pt>
                <c:pt idx="65">
                  <c:v>3.938441193014E-202</c:v>
                </c:pt>
                <c:pt idx="66">
                  <c:v>8.2803120898077809E-209</c:v>
                </c:pt>
                <c:pt idx="67">
                  <c:v>1.3557993650008192E-215</c:v>
                </c:pt>
                <c:pt idx="68">
                  <c:v>1.7289025941935474E-222</c:v>
                </c:pt>
                <c:pt idx="69">
                  <c:v>1.717006760973104E-229</c:v>
                </c:pt>
                <c:pt idx="70">
                  <c:v>1.3280054706780553E-236</c:v>
                </c:pt>
                <c:pt idx="71">
                  <c:v>7.9993390097473646E-244</c:v>
                </c:pt>
                <c:pt idx="72">
                  <c:v>3.7526211360983394E-251</c:v>
                </c:pt>
                <c:pt idx="73">
                  <c:v>1.3710134575572061E-258</c:v>
                </c:pt>
                <c:pt idx="74">
                  <c:v>3.9009923143726473E-266</c:v>
                </c:pt>
                <c:pt idx="75">
                  <c:v>8.6443999296319963E-274</c:v>
                </c:pt>
                <c:pt idx="76">
                  <c:v>1.4918356704472434E-281</c:v>
                </c:pt>
                <c:pt idx="77">
                  <c:v>2.0050882990544155E-289</c:v>
                </c:pt>
                <c:pt idx="78">
                  <c:v>2.0988064860143703E-297</c:v>
                </c:pt>
                <c:pt idx="79">
                  <c:v>1.7109513949653489E-305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355648"/>
        <c:axId val="307357184"/>
      </c:scatterChart>
      <c:valAx>
        <c:axId val="30735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7357184"/>
        <c:crosses val="autoZero"/>
        <c:crossBetween val="midCat"/>
      </c:valAx>
      <c:valAx>
        <c:axId val="307357184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307355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Graph 3 : Relative probability of each data point being from each Gaussian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'Activity 3'!$E$3</c:f>
              <c:strCache>
                <c:ptCount val="1"/>
                <c:pt idx="0">
                  <c:v>% prob from 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numRef>
              <c:f>'Activity 3'!$B$4:$B$16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17.5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</c:numCache>
            </c:numRef>
          </c:cat>
          <c:val>
            <c:numRef>
              <c:f>'Activity 3'!$E$4:$E$16</c:f>
              <c:numCache>
                <c:formatCode>0%</c:formatCode>
                <c:ptCount val="13"/>
                <c:pt idx="0">
                  <c:v>0.01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strRef>
              <c:f>'Activity 3'!$F$3</c:f>
              <c:strCache>
                <c:ptCount val="1"/>
                <c:pt idx="0">
                  <c:v>% prob from b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'Activity 3'!$B$4:$B$16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17.5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</c:numCache>
            </c:numRef>
          </c:cat>
          <c:val>
            <c:numRef>
              <c:f>'Activity 3'!$F$4:$F$16</c:f>
              <c:numCache>
                <c:formatCode>0%</c:formatCode>
                <c:ptCount val="13"/>
                <c:pt idx="0">
                  <c:v>0.99</c:v>
                </c:pt>
                <c:pt idx="1">
                  <c:v>0.99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7078656"/>
        <c:axId val="307080192"/>
      </c:barChart>
      <c:catAx>
        <c:axId val="30707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07080192"/>
        <c:crosses val="autoZero"/>
        <c:auto val="1"/>
        <c:lblAlgn val="ctr"/>
        <c:lblOffset val="100"/>
        <c:noMultiLvlLbl val="0"/>
      </c:catAx>
      <c:valAx>
        <c:axId val="307080192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30707865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GB" sz="1400"/>
              <a:t>Graph</a:t>
            </a:r>
            <a:r>
              <a:rPr lang="en-GB" sz="1400" baseline="0"/>
              <a:t> 1 : A set of 1-dimensional data that we think may come from 2 Gaussian Distributions</a:t>
            </a:r>
            <a:endParaRPr lang="en-GB" sz="14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'Activity 3'!$B$3</c:f>
              <c:strCache>
                <c:ptCount val="1"/>
                <c:pt idx="0">
                  <c:v>x</c:v>
                </c:pt>
              </c:strCache>
            </c:strRef>
          </c:tx>
          <c:spPr>
            <a:ln w="28575">
              <a:noFill/>
            </a:ln>
          </c:spPr>
          <c:xVal>
            <c:numRef>
              <c:f>'Activity 3'!$B$4:$B$16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17.5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</c:numCache>
            </c:numRef>
          </c:xVal>
          <c:yVal>
            <c:numRef>
              <c:f>'Activity 3'!$A$4:$A$16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366912"/>
        <c:axId val="307385088"/>
      </c:scatterChart>
      <c:valAx>
        <c:axId val="307366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7385088"/>
        <c:crosses val="autoZero"/>
        <c:crossBetween val="midCat"/>
      </c:valAx>
      <c:valAx>
        <c:axId val="307385088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3073669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Automated!$C$56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numRef>
              <c:f>Automated!$C$15:$C$27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17.5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</c:numCache>
            </c:numRef>
          </c:cat>
          <c:val>
            <c:numRef>
              <c:f>Automated!$F$15:$F$27</c:f>
              <c:numCache>
                <c:formatCode>0%</c:formatCode>
                <c:ptCount val="13"/>
                <c:pt idx="0">
                  <c:v>0.9999999999980298</c:v>
                </c:pt>
                <c:pt idx="1">
                  <c:v>0.99999999996399469</c:v>
                </c:pt>
                <c:pt idx="2">
                  <c:v>0.99999999929013028</c:v>
                </c:pt>
                <c:pt idx="3">
                  <c:v>0.999991423157509</c:v>
                </c:pt>
                <c:pt idx="4">
                  <c:v>5.3829628680786942E-8</c:v>
                </c:pt>
                <c:pt idx="5">
                  <c:v>1.0984479819798592E-9</c:v>
                </c:pt>
                <c:pt idx="6">
                  <c:v>2.0777110218181091E-11</c:v>
                </c:pt>
                <c:pt idx="7">
                  <c:v>2.7773512125859464E-12</c:v>
                </c:pt>
                <c:pt idx="8">
                  <c:v>3.6428253566929198E-13</c:v>
                </c:pt>
                <c:pt idx="9">
                  <c:v>5.9202373383726263E-15</c:v>
                </c:pt>
                <c:pt idx="10">
                  <c:v>8.9184102018940358E-17</c:v>
                </c:pt>
                <c:pt idx="11">
                  <c:v>1.2453267857921426E-18</c:v>
                </c:pt>
                <c:pt idx="12">
                  <c:v>1.6118579831663346E-20</c:v>
                </c:pt>
              </c:numCache>
            </c:numRef>
          </c:val>
        </c:ser>
        <c:ser>
          <c:idx val="1"/>
          <c:order val="1"/>
          <c:tx>
            <c:strRef>
              <c:f>Automated!$D$56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Automated!$C$15:$C$27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17.5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</c:numCache>
            </c:numRef>
          </c:cat>
          <c:val>
            <c:numRef>
              <c:f>Automated!$G$15:$G$27</c:f>
              <c:numCache>
                <c:formatCode>0.00</c:formatCode>
                <c:ptCount val="13"/>
                <c:pt idx="0">
                  <c:v>1.9702017794998028E-12</c:v>
                </c:pt>
                <c:pt idx="1">
                  <c:v>3.6005309844711064E-11</c:v>
                </c:pt>
                <c:pt idx="2">
                  <c:v>7.0986971856257242E-10</c:v>
                </c:pt>
                <c:pt idx="3">
                  <c:v>8.5768424910037666E-6</c:v>
                </c:pt>
                <c:pt idx="4">
                  <c:v>0.99999994617037136</c:v>
                </c:pt>
                <c:pt idx="5">
                  <c:v>0.999999998901552</c:v>
                </c:pt>
                <c:pt idx="6">
                  <c:v>0.99999999997922284</c:v>
                </c:pt>
                <c:pt idx="7">
                  <c:v>0.99999999999722267</c:v>
                </c:pt>
                <c:pt idx="8">
                  <c:v>0.99999999999963574</c:v>
                </c:pt>
                <c:pt idx="9">
                  <c:v>0.99999999999999412</c:v>
                </c:pt>
                <c:pt idx="10">
                  <c:v>0.99999999999999989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7181824"/>
        <c:axId val="307224576"/>
      </c:barChart>
      <c:catAx>
        <c:axId val="307181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7224576"/>
        <c:crosses val="autoZero"/>
        <c:auto val="1"/>
        <c:lblAlgn val="ctr"/>
        <c:lblOffset val="100"/>
        <c:noMultiLvlLbl val="0"/>
      </c:catAx>
      <c:valAx>
        <c:axId val="307224576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07181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Automated!$C$14</c:f>
              <c:strCache>
                <c:ptCount val="1"/>
                <c:pt idx="0">
                  <c:v>X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3"/>
          </c:marker>
          <c:xVal>
            <c:numRef>
              <c:f>Automated!$C$15:$C$27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17.5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</c:numCache>
            </c:numRef>
          </c:xVal>
          <c:yVal>
            <c:numRef>
              <c:f>Automated!$B$15:$B$27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Automated!$C$64</c:f>
              <c:strCache>
                <c:ptCount val="1"/>
                <c:pt idx="0">
                  <c:v>a</c:v>
                </c:pt>
              </c:strCache>
            </c:strRef>
          </c:tx>
          <c:spPr>
            <a:ln w="444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Automated!$B$65:$B$536</c:f>
              <c:numCache>
                <c:formatCode>0.0</c:formatCode>
                <c:ptCount val="472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</c:numCache>
            </c:numRef>
          </c:xVal>
          <c:yVal>
            <c:numRef>
              <c:f>Automated!$C$65:$C$536</c:f>
              <c:numCache>
                <c:formatCode>0.00</c:formatCode>
                <c:ptCount val="472"/>
                <c:pt idx="0">
                  <c:v>6.6729753351093459E-3</c:v>
                </c:pt>
                <c:pt idx="1">
                  <c:v>7.0628710085574352E-3</c:v>
                </c:pt>
                <c:pt idx="2">
                  <c:v>7.4702101335213725E-3</c:v>
                </c:pt>
                <c:pt idx="3">
                  <c:v>7.8954002500975229E-3</c:v>
                </c:pt>
                <c:pt idx="4">
                  <c:v>8.3388329230417724E-3</c:v>
                </c:pt>
                <c:pt idx="5">
                  <c:v>8.800881683024989E-3</c:v>
                </c:pt>
                <c:pt idx="6">
                  <c:v>9.2818999176890564E-3</c:v>
                </c:pt>
                <c:pt idx="7">
                  <c:v>9.7822187189678337E-3</c:v>
                </c:pt>
                <c:pt idx="8">
                  <c:v>1.0302144693722273E-2</c:v>
                </c:pt>
                <c:pt idx="9">
                  <c:v>1.0841957745314927E-2</c:v>
                </c:pt>
                <c:pt idx="10">
                  <c:v>1.1401908834311901E-2</c:v>
                </c:pt>
                <c:pt idx="11">
                  <c:v>1.1982217727045427E-2</c:v>
                </c:pt>
                <c:pt idx="12">
                  <c:v>1.2583070741293218E-2</c:v>
                </c:pt>
                <c:pt idx="13">
                  <c:v>1.320461849882669E-2</c:v>
                </c:pt>
                <c:pt idx="14">
                  <c:v>1.3846973695044914E-2</c:v>
                </c:pt>
                <c:pt idx="15">
                  <c:v>1.4510208896339531E-2</c:v>
                </c:pt>
                <c:pt idx="16">
                  <c:v>1.5194354376223504E-2</c:v>
                </c:pt>
                <c:pt idx="17">
                  <c:v>1.5899396001598863E-2</c:v>
                </c:pt>
                <c:pt idx="18">
                  <c:v>1.662527318083095E-2</c:v>
                </c:pt>
                <c:pt idx="19">
                  <c:v>1.7371876885534977E-2</c:v>
                </c:pt>
                <c:pt idx="20">
                  <c:v>1.8139047758160446E-2</c:v>
                </c:pt>
                <c:pt idx="21">
                  <c:v>1.8926574317576751E-2</c:v>
                </c:pt>
                <c:pt idx="22">
                  <c:v>1.9734191274915061E-2</c:v>
                </c:pt>
                <c:pt idx="23">
                  <c:v>2.0561577971903989E-2</c:v>
                </c:pt>
                <c:pt idx="24">
                  <c:v>2.1408356953847216E-2</c:v>
                </c:pt>
                <c:pt idx="25">
                  <c:v>2.2274092689226716E-2</c:v>
                </c:pt>
                <c:pt idx="26">
                  <c:v>2.3158290447674302E-2</c:v>
                </c:pt>
                <c:pt idx="27">
                  <c:v>2.4060395347734187E-2</c:v>
                </c:pt>
                <c:pt idx="28">
                  <c:v>2.4979791585440083E-2</c:v>
                </c:pt>
                <c:pt idx="29">
                  <c:v>2.5915801854250634E-2</c:v>
                </c:pt>
                <c:pt idx="30">
                  <c:v>2.6867686966326628E-2</c:v>
                </c:pt>
                <c:pt idx="31">
                  <c:v>2.7834645684493595E-2</c:v>
                </c:pt>
                <c:pt idx="32">
                  <c:v>2.8815814773514331E-2</c:v>
                </c:pt>
                <c:pt idx="33">
                  <c:v>2.9810269278500189E-2</c:v>
                </c:pt>
                <c:pt idx="34">
                  <c:v>3.0817023037419178E-2</c:v>
                </c:pt>
                <c:pt idx="35">
                  <c:v>3.1835029433716584E-2</c:v>
                </c:pt>
                <c:pt idx="36">
                  <c:v>3.286318239405308E-2</c:v>
                </c:pt>
                <c:pt idx="37">
                  <c:v>3.3900317635091264E-2</c:v>
                </c:pt>
                <c:pt idx="38">
                  <c:v>3.4945214162127571E-2</c:v>
                </c:pt>
                <c:pt idx="39">
                  <c:v>3.5996596021179404E-2</c:v>
                </c:pt>
                <c:pt idx="40">
                  <c:v>3.705313430490273E-2</c:v>
                </c:pt>
                <c:pt idx="41">
                  <c:v>3.8113449411439043E-2</c:v>
                </c:pt>
                <c:pt idx="42">
                  <c:v>3.9176113553980658E-2</c:v>
                </c:pt>
                <c:pt idx="43">
                  <c:v>4.0239653517506656E-2</c:v>
                </c:pt>
                <c:pt idx="44">
                  <c:v>4.1302553657786512E-2</c:v>
                </c:pt>
                <c:pt idx="45">
                  <c:v>4.2363259136382433E-2</c:v>
                </c:pt>
                <c:pt idx="46">
                  <c:v>4.3420179384014386E-2</c:v>
                </c:pt>
                <c:pt idx="47">
                  <c:v>4.4471691783291016E-2</c:v>
                </c:pt>
                <c:pt idx="48">
                  <c:v>4.5516145560465404E-2</c:v>
                </c:pt>
                <c:pt idx="49">
                  <c:v>4.6551865874555884E-2</c:v>
                </c:pt>
                <c:pt idx="50">
                  <c:v>4.757715809088725E-2</c:v>
                </c:pt>
                <c:pt idx="51">
                  <c:v>4.8590312224866851E-2</c:v>
                </c:pt>
                <c:pt idx="52">
                  <c:v>4.9589607540622485E-2</c:v>
                </c:pt>
                <c:pt idx="53">
                  <c:v>5.0573317288002101E-2</c:v>
                </c:pt>
                <c:pt idx="54">
                  <c:v>5.1539713560379903E-2</c:v>
                </c:pt>
                <c:pt idx="55">
                  <c:v>5.2487072254735999E-2</c:v>
                </c:pt>
                <c:pt idx="56">
                  <c:v>5.3413678114586825E-2</c:v>
                </c:pt>
                <c:pt idx="57">
                  <c:v>5.4317829835547407E-2</c:v>
                </c:pt>
                <c:pt idx="58">
                  <c:v>5.5197845212611701E-2</c:v>
                </c:pt>
                <c:pt idx="59">
                  <c:v>5.6052066307650833E-2</c:v>
                </c:pt>
                <c:pt idx="60">
                  <c:v>5.6878864615155143E-2</c:v>
                </c:pt>
                <c:pt idx="61">
                  <c:v>5.7676646203890944E-2</c:v>
                </c:pt>
                <c:pt idx="62">
                  <c:v>5.8443856811911089E-2</c:v>
                </c:pt>
                <c:pt idx="63">
                  <c:v>5.917898687225203E-2</c:v>
                </c:pt>
                <c:pt idx="64">
                  <c:v>5.9880576446672773E-2</c:v>
                </c:pt>
                <c:pt idx="65">
                  <c:v>6.0547220044944693E-2</c:v>
                </c:pt>
                <c:pt idx="66">
                  <c:v>6.117757130748526E-2</c:v>
                </c:pt>
                <c:pt idx="67">
                  <c:v>6.1770347529544752E-2</c:v>
                </c:pt>
                <c:pt idx="68">
                  <c:v>6.232433400570047E-2</c:v>
                </c:pt>
                <c:pt idx="69">
                  <c:v>6.2838388174086865E-2</c:v>
                </c:pt>
                <c:pt idx="70">
                  <c:v>6.3311443540588763E-2</c:v>
                </c:pt>
                <c:pt idx="71">
                  <c:v>6.3742513364144465E-2</c:v>
                </c:pt>
                <c:pt idx="72">
                  <c:v>6.4130694085342624E-2</c:v>
                </c:pt>
                <c:pt idx="73">
                  <c:v>6.4475168481642656E-2</c:v>
                </c:pt>
                <c:pt idx="74">
                  <c:v>6.4775208533800629E-2</c:v>
                </c:pt>
                <c:pt idx="75">
                  <c:v>6.5030177989429547E-2</c:v>
                </c:pt>
                <c:pt idx="76">
                  <c:v>6.5239534611060551E-2</c:v>
                </c:pt>
                <c:pt idx="77">
                  <c:v>6.5402832097587446E-2</c:v>
                </c:pt>
                <c:pt idx="78">
                  <c:v>6.5519721669565198E-2</c:v>
                </c:pt>
                <c:pt idx="79">
                  <c:v>6.5589953310480481E-2</c:v>
                </c:pt>
                <c:pt idx="80">
                  <c:v>6.5613376657811182E-2</c:v>
                </c:pt>
                <c:pt idx="81">
                  <c:v>6.5589941539430222E-2</c:v>
                </c:pt>
                <c:pt idx="82">
                  <c:v>6.5519698152674957E-2</c:v>
                </c:pt>
                <c:pt idx="83">
                  <c:v>6.5402796885187728E-2</c:v>
                </c:pt>
                <c:pt idx="84">
                  <c:v>6.5239487778422658E-2</c:v>
                </c:pt>
                <c:pt idx="85">
                  <c:v>6.5030119636497505E-2</c:v>
                </c:pt>
                <c:pt idx="86">
                  <c:v>6.4775138784835706E-2</c:v>
                </c:pt>
                <c:pt idx="87">
                  <c:v>6.4475087484782548E-2</c:v>
                </c:pt>
                <c:pt idx="88">
                  <c:v>6.413060201207714E-2</c:v>
                </c:pt>
                <c:pt idx="89">
                  <c:v>6.374241040871062E-2</c:v>
                </c:pt>
                <c:pt idx="90">
                  <c:v>6.331132991928802E-2</c:v>
                </c:pt>
                <c:pt idx="91">
                  <c:v>6.2838264124528115E-2</c:v>
                </c:pt>
                <c:pt idx="92">
                  <c:v>6.2324199785972145E-2</c:v>
                </c:pt>
                <c:pt idx="93">
                  <c:v>6.1770203417320521E-2</c:v>
                </c:pt>
                <c:pt idx="94">
                  <c:v>6.1177417599067287E-2</c:v>
                </c:pt>
                <c:pt idx="95">
                  <c:v>6.054705705424919E-2</c:v>
                </c:pt>
                <c:pt idx="96">
                  <c:v>5.9880404504162765E-2</c:v>
                </c:pt>
                <c:pt idx="97">
                  <c:v>5.9178806323822379E-2</c:v>
                </c:pt>
                <c:pt idx="98">
                  <c:v>5.8443668017730981E-2</c:v>
                </c:pt>
                <c:pt idx="99">
                  <c:v>5.767644953720924E-2</c:v>
                </c:pt>
                <c:pt idx="100">
                  <c:v>5.6878660461074274E-2</c:v>
                </c:pt>
                <c:pt idx="101">
                  <c:v>5.6051855061874649E-2</c:v>
                </c:pt>
                <c:pt idx="102">
                  <c:v>5.5197627280173155E-2</c:v>
                </c:pt>
                <c:pt idx="103">
                  <c:v>5.4317605629521627E-2</c:v>
                </c:pt>
                <c:pt idx="104">
                  <c:v>5.3413448054795275E-2</c:v>
                </c:pt>
                <c:pt idx="105">
                  <c:v>5.2486836766447428E-2</c:v>
                </c:pt>
                <c:pt idx="106">
                  <c:v>5.153947307301375E-2</c:v>
                </c:pt>
                <c:pt idx="107">
                  <c:v>5.0573072233839458E-2</c:v>
                </c:pt>
                <c:pt idx="108">
                  <c:v>4.9589358353530413E-2</c:v>
                </c:pt>
                <c:pt idx="109">
                  <c:v>4.8590059339040932E-2</c:v>
                </c:pt>
                <c:pt idx="110">
                  <c:v>4.7576901939617423E-2</c:v>
                </c:pt>
                <c:pt idx="111">
                  <c:v>4.6551606889020297E-2</c:v>
                </c:pt>
                <c:pt idx="112">
                  <c:v>4.551588416855698E-2</c:v>
                </c:pt>
                <c:pt idx="113">
                  <c:v>4.447142840848084E-2</c:v>
                </c:pt>
                <c:pt idx="114">
                  <c:v>4.3419914444255941E-2</c:v>
                </c:pt>
                <c:pt idx="115">
                  <c:v>4.2362993043060473E-2</c:v>
                </c:pt>
                <c:pt idx="116">
                  <c:v>4.1302286814714033E-2</c:v>
                </c:pt>
                <c:pt idx="117">
                  <c:v>4.0239386319972828E-2</c:v>
                </c:pt>
                <c:pt idx="118">
                  <c:v>3.9175846387852729E-2</c:v>
                </c:pt>
                <c:pt idx="119">
                  <c:v>3.8113182652320519E-2</c:v>
                </c:pt>
                <c:pt idx="120">
                  <c:v>3.7052868317349948E-2</c:v>
                </c:pt>
                <c:pt idx="121">
                  <c:v>3.599633115797822E-2</c:v>
                </c:pt>
                <c:pt idx="122">
                  <c:v>3.494495076363166E-2</c:v>
                </c:pt>
                <c:pt idx="123">
                  <c:v>3.3900056028622935E-2</c:v>
                </c:pt>
                <c:pt idx="124">
                  <c:v>3.2862922893367459E-2</c:v>
                </c:pt>
                <c:pt idx="125">
                  <c:v>3.1834772338529563E-2</c:v>
                </c:pt>
                <c:pt idx="126">
                  <c:v>3.0816768632999043E-2</c:v>
                </c:pt>
                <c:pt idx="127">
                  <c:v>2.9810017835322826E-2</c:v>
                </c:pt>
                <c:pt idx="128">
                  <c:v>2.8815566546981475E-2</c:v>
                </c:pt>
                <c:pt idx="129">
                  <c:v>2.7834400914713057E-2</c:v>
                </c:pt>
                <c:pt idx="130">
                  <c:v>2.6867445877953623E-2</c:v>
                </c:pt>
                <c:pt idx="131">
                  <c:v>2.5915564656388744E-2</c:v>
                </c:pt>
                <c:pt idx="132">
                  <c:v>2.4979558471600122E-2</c:v>
                </c:pt>
                <c:pt idx="133">
                  <c:v>2.4060166495849234E-2</c:v>
                </c:pt>
                <c:pt idx="134">
                  <c:v>2.3158066020168747E-2</c:v>
                </c:pt>
                <c:pt idx="135">
                  <c:v>2.2273872833137132E-2</c:v>
                </c:pt>
                <c:pt idx="136">
                  <c:v>2.1408141800992608E-2</c:v>
                </c:pt>
                <c:pt idx="137">
                  <c:v>2.0561367639102754E-2</c:v>
                </c:pt>
                <c:pt idx="138">
                  <c:v>1.9733985864246028E-2</c:v>
                </c:pt>
                <c:pt idx="139">
                  <c:v>1.8926373916681512E-2</c:v>
                </c:pt>
                <c:pt idx="140">
                  <c:v>1.8138852440583948E-2</c:v>
                </c:pt>
                <c:pt idx="141">
                  <c:v>1.7371686711101505E-2</c:v>
                </c:pt>
                <c:pt idx="142">
                  <c:v>1.6625088196052389E-2</c:v>
                </c:pt>
                <c:pt idx="143">
                  <c:v>1.5899216240112202E-2</c:v>
                </c:pt>
                <c:pt idx="144">
                  <c:v>1.5194179859254519E-2</c:v>
                </c:pt>
                <c:pt idx="145">
                  <c:v>1.4510039633189543E-2</c:v>
                </c:pt>
                <c:pt idx="146">
                  <c:v>1.384680968359756E-2</c:v>
                </c:pt>
                <c:pt idx="147">
                  <c:v>1.3204459726071765E-2</c:v>
                </c:pt>
                <c:pt idx="148">
                  <c:v>1.2582917183864497E-2</c:v>
                </c:pt>
                <c:pt idx="149">
                  <c:v>1.1982069351769688E-2</c:v>
                </c:pt>
                <c:pt idx="150">
                  <c:v>1.1401765598766279E-2</c:v>
                </c:pt>
                <c:pt idx="151">
                  <c:v>1.0841819598389877E-2</c:v>
                </c:pt>
                <c:pt idx="152">
                  <c:v>1.03020115761875E-2</c:v>
                </c:pt>
                <c:pt idx="153">
                  <c:v>9.7820905640387552E-3</c:v>
                </c:pt>
                <c:pt idx="154">
                  <c:v>9.2817766515913142E-3</c:v>
                </c:pt>
                <c:pt idx="155">
                  <c:v>8.8007632255547967E-3</c:v>
                </c:pt>
                <c:pt idx="156">
                  <c:v>8.3387191881199776E-3</c:v>
                </c:pt>
                <c:pt idx="157">
                  <c:v>7.8952911463153752E-3</c:v>
                </c:pt>
                <c:pt idx="158">
                  <c:v>7.4701055646761872E-3</c:v>
                </c:pt>
                <c:pt idx="159">
                  <c:v>7.0627708741763913E-3</c:v>
                </c:pt>
                <c:pt idx="160">
                  <c:v>6.6728795309599362E-3</c:v>
                </c:pt>
                <c:pt idx="161">
                  <c:v>6.3000100189968301E-3</c:v>
                </c:pt>
                <c:pt idx="162">
                  <c:v>5.9437287913802336E-3</c:v>
                </c:pt>
                <c:pt idx="163">
                  <c:v>5.6035921455691072E-3</c:v>
                </c:pt>
                <c:pt idx="164">
                  <c:v>5.2791480284616601E-3</c:v>
                </c:pt>
                <c:pt idx="165">
                  <c:v>4.9699377677572829E-3</c:v>
                </c:pt>
                <c:pt idx="166">
                  <c:v>4.6754977266233412E-3</c:v>
                </c:pt>
                <c:pt idx="167">
                  <c:v>4.395360879227068E-3</c:v>
                </c:pt>
                <c:pt idx="168">
                  <c:v>4.1290583052185029E-3</c:v>
                </c:pt>
                <c:pt idx="169">
                  <c:v>3.8761206017558477E-3</c:v>
                </c:pt>
                <c:pt idx="170">
                  <c:v>3.6360792121482616E-3</c:v>
                </c:pt>
                <c:pt idx="171">
                  <c:v>3.4084676706504684E-3</c:v>
                </c:pt>
                <c:pt idx="172">
                  <c:v>3.1928227633780228E-3</c:v>
                </c:pt>
                <c:pt idx="173">
                  <c:v>2.9886856057199265E-3</c:v>
                </c:pt>
                <c:pt idx="174">
                  <c:v>2.7956026370059279E-3</c:v>
                </c:pt>
                <c:pt idx="175">
                  <c:v>2.6131265335382807E-3</c:v>
                </c:pt>
                <c:pt idx="176">
                  <c:v>2.4408170414220837E-3</c:v>
                </c:pt>
                <c:pt idx="177">
                  <c:v>2.2782417309236453E-3</c:v>
                </c:pt>
                <c:pt idx="178">
                  <c:v>2.1249766743533108E-3</c:v>
                </c:pt>
                <c:pt idx="179">
                  <c:v>1.9806070497075806E-3</c:v>
                </c:pt>
                <c:pt idx="180">
                  <c:v>1.8447276725157928E-3</c:v>
                </c:pt>
                <c:pt idx="181">
                  <c:v>1.7169434585194694E-3</c:v>
                </c:pt>
                <c:pt idx="182">
                  <c:v>1.5968698199686226E-3</c:v>
                </c:pt>
                <c:pt idx="183">
                  <c:v>1.4841329984494169E-3</c:v>
                </c:pt>
                <c:pt idx="184">
                  <c:v>1.378370337262772E-3</c:v>
                </c:pt>
                <c:pt idx="185">
                  <c:v>1.2792304964547665E-3</c:v>
                </c:pt>
                <c:pt idx="186">
                  <c:v>1.1863736136581932E-3</c:v>
                </c:pt>
                <c:pt idx="187">
                  <c:v>1.0994714139415851E-3</c:v>
                </c:pt>
                <c:pt idx="188">
                  <c:v>1.0182072718788475E-3</c:v>
                </c:pt>
                <c:pt idx="189">
                  <c:v>9.4227622905043999E-4</c:v>
                </c:pt>
                <c:pt idx="190">
                  <c:v>8.7138497016749062E-4</c:v>
                </c:pt>
                <c:pt idx="191">
                  <c:v>8.052517609744706E-4</c:v>
                </c:pt>
                <c:pt idx="192">
                  <c:v>7.4360635103562272E-4</c:v>
                </c:pt>
                <c:pt idx="193">
                  <c:v>6.8618984444664892E-4</c:v>
                </c:pt>
                <c:pt idx="194">
                  <c:v>6.3275454143747007E-4</c:v>
                </c:pt>
                <c:pt idx="195">
                  <c:v>5.8306375374575124E-4</c:v>
                </c:pt>
                <c:pt idx="196">
                  <c:v>5.3689159654546608E-4</c:v>
                </c:pt>
                <c:pt idx="197">
                  <c:v>4.9402275961148677E-4</c:v>
                </c:pt>
                <c:pt idx="198">
                  <c:v>4.5425226029123641E-4</c:v>
                </c:pt>
                <c:pt idx="199">
                  <c:v>4.1738518073901966E-4</c:v>
                </c:pt>
                <c:pt idx="200">
                  <c:v>3.8323639174889977E-4</c:v>
                </c:pt>
                <c:pt idx="201">
                  <c:v>3.5163026539903708E-4</c:v>
                </c:pt>
                <c:pt idx="202">
                  <c:v>3.2240037859518198E-4</c:v>
                </c:pt>
                <c:pt idx="203">
                  <c:v>2.9538920947455501E-4</c:v>
                </c:pt>
                <c:pt idx="204">
                  <c:v>2.7044782850449954E-4</c:v>
                </c:pt>
                <c:pt idx="205">
                  <c:v>2.4743558598383937E-4</c:v>
                </c:pt>
                <c:pt idx="206">
                  <c:v>2.2621979752961724E-4</c:v>
                </c:pt>
                <c:pt idx="207">
                  <c:v>2.0667542900846354E-4</c:v>
                </c:pt>
                <c:pt idx="208">
                  <c:v>1.8868478225084968E-4</c:v>
                </c:pt>
                <c:pt idx="209">
                  <c:v>1.7213718276848434E-4</c:v>
                </c:pt>
                <c:pt idx="210">
                  <c:v>1.5692867058055232E-4</c:v>
                </c:pt>
                <c:pt idx="211">
                  <c:v>1.4296169514380134E-4</c:v>
                </c:pt>
                <c:pt idx="212">
                  <c:v>1.3014481527498067E-4</c:v>
                </c:pt>
                <c:pt idx="213">
                  <c:v>1.1839240485214228E-4</c:v>
                </c:pt>
                <c:pt idx="214">
                  <c:v>1.0762436498401344E-4</c:v>
                </c:pt>
                <c:pt idx="215">
                  <c:v>9.7765843244276119E-5</c:v>
                </c:pt>
                <c:pt idx="216">
                  <c:v>8.8746960480216933E-5</c:v>
                </c:pt>
                <c:pt idx="217">
                  <c:v>8.0502545622966455E-5</c:v>
                </c:pt>
                <c:pt idx="218">
                  <c:v>7.2971878849447742E-5</c:v>
                </c:pt>
                <c:pt idx="219">
                  <c:v>6.6098443374202414E-5</c:v>
                </c:pt>
                <c:pt idx="220">
                  <c:v>5.9829686082445412E-5</c:v>
                </c:pt>
                <c:pt idx="221">
                  <c:v>5.411678715392337E-5</c:v>
                </c:pt>
                <c:pt idx="222">
                  <c:v>4.8914438770346268E-5</c:v>
                </c:pt>
                <c:pt idx="223">
                  <c:v>4.4180632947200085E-5</c:v>
                </c:pt>
                <c:pt idx="224">
                  <c:v>3.9876458483487499E-5</c:v>
                </c:pt>
                <c:pt idx="225">
                  <c:v>3.5965906980229627E-5</c:v>
                </c:pt>
                <c:pt idx="226">
                  <c:v>3.2415687840223141E-5</c:v>
                </c:pt>
                <c:pt idx="227">
                  <c:v>2.9195052127384272E-5</c:v>
                </c:pt>
                <c:pt idx="228">
                  <c:v>2.6275625133842771E-5</c:v>
                </c:pt>
                <c:pt idx="229">
                  <c:v>2.363124747655644E-5</c:v>
                </c:pt>
                <c:pt idx="230">
                  <c:v>2.1237824522397308E-5</c:v>
                </c:pt>
                <c:pt idx="231">
                  <c:v>1.907318392119433E-5</c:v>
                </c:pt>
                <c:pt idx="232">
                  <c:v>1.7116941009896578E-5</c:v>
                </c:pt>
                <c:pt idx="233">
                  <c:v>1.5350371837617111E-5</c:v>
                </c:pt>
                <c:pt idx="234">
                  <c:v>1.3756293550633422E-5</c:v>
                </c:pt>
                <c:pt idx="235">
                  <c:v>1.2318951868233009E-5</c:v>
                </c:pt>
                <c:pt idx="236">
                  <c:v>1.1023915374398685E-5</c:v>
                </c:pt>
                <c:pt idx="237">
                  <c:v>9.8579763465358769E-6</c:v>
                </c:pt>
                <c:pt idx="238">
                  <c:v>8.8090578405458209E-6</c:v>
                </c:pt>
                <c:pt idx="239">
                  <c:v>7.8661267513717332E-6</c:v>
                </c:pt>
                <c:pt idx="240">
                  <c:v>7.0191125694994687E-6</c:v>
                </c:pt>
                <c:pt idx="241">
                  <c:v>6.258831556618721E-6</c:v>
                </c:pt>
                <c:pt idx="242">
                  <c:v>5.5769160675783396E-6</c:v>
                </c:pt>
                <c:pt idx="243">
                  <c:v>4.9657487507490547E-6</c:v>
                </c:pt>
                <c:pt idx="244">
                  <c:v>4.4184013647979179E-6</c:v>
                </c:pt>
                <c:pt idx="245">
                  <c:v>3.9285779565427271E-6</c:v>
                </c:pt>
                <c:pt idx="246">
                  <c:v>3.4905621518713878E-6</c:v>
                </c:pt>
                <c:pt idx="247">
                  <c:v>3.0991683195626055E-6</c:v>
                </c:pt>
                <c:pt idx="248">
                  <c:v>2.7496963761239744E-6</c:v>
                </c:pt>
                <c:pt idx="249">
                  <c:v>2.4378900083760341E-6</c:v>
                </c:pt>
                <c:pt idx="250">
                  <c:v>2.1598980993643727E-6</c:v>
                </c:pt>
                <c:pt idx="251">
                  <c:v>1.9122391521980971E-6</c:v>
                </c:pt>
                <c:pt idx="252">
                  <c:v>1.6917685155174836E-6</c:v>
                </c:pt>
                <c:pt idx="253">
                  <c:v>1.4956482234222796E-6</c:v>
                </c:pt>
                <c:pt idx="254">
                  <c:v>1.3213192717867408E-6</c:v>
                </c:pt>
                <c:pt idx="255">
                  <c:v>1.1664761618963203E-6</c:v>
                </c:pt>
                <c:pt idx="256">
                  <c:v>1.0290435512207441E-6</c:v>
                </c:pt>
                <c:pt idx="257">
                  <c:v>9.0715485984858007E-7</c:v>
                </c:pt>
                <c:pt idx="258">
                  <c:v>7.9913268961804129E-7</c:v>
                </c:pt>
                <c:pt idx="259">
                  <c:v>7.0347092125823376E-7</c:v>
                </c:pt>
                <c:pt idx="260">
                  <c:v>6.1881836288273795E-7</c:v>
                </c:pt>
                <c:pt idx="261">
                  <c:v>5.4396383093361632E-7</c:v>
                </c:pt>
                <c:pt idx="262">
                  <c:v>4.7782255214447044E-7</c:v>
                </c:pt>
                <c:pt idx="263">
                  <c:v>4.1942378226538552E-7</c:v>
                </c:pt>
                <c:pt idx="264">
                  <c:v>3.6789954416202961E-7</c:v>
                </c:pt>
                <c:pt idx="265">
                  <c:v>3.2247439446204277E-7</c:v>
                </c:pt>
                <c:pt idx="266">
                  <c:v>2.8245613417138707E-7</c:v>
                </c:pt>
                <c:pt idx="267">
                  <c:v>2.4722738462211691E-7</c:v>
                </c:pt>
                <c:pt idx="268">
                  <c:v>2.162379557434468E-7</c:v>
                </c:pt>
                <c:pt idx="269">
                  <c:v>1.8899793897384246E-7</c:v>
                </c:pt>
                <c:pt idx="270">
                  <c:v>1.6507146215911463E-7</c:v>
                </c:pt>
                <c:pt idx="271">
                  <c:v>1.4407104851676237E-7</c:v>
                </c:pt>
                <c:pt idx="272">
                  <c:v>1.2565252619834239E-7</c:v>
                </c:pt>
                <c:pt idx="273">
                  <c:v>1.0951043915818491E-7</c:v>
                </c:pt>
                <c:pt idx="274">
                  <c:v>9.5373913947982287E-8</c:v>
                </c:pt>
                <c:pt idx="275">
                  <c:v>8.3002940712890417E-8</c:v>
                </c:pt>
                <c:pt idx="276">
                  <c:v>7.2185030076240017E-8</c:v>
                </c:pt>
                <c:pt idx="277">
                  <c:v>6.2732210777757593E-8</c:v>
                </c:pt>
                <c:pt idx="278">
                  <c:v>5.4478335885263148E-8</c:v>
                </c:pt>
                <c:pt idx="279">
                  <c:v>4.7276668143263097E-8</c:v>
                </c:pt>
                <c:pt idx="280">
                  <c:v>4.0997717564770818E-8</c:v>
                </c:pt>
                <c:pt idx="281">
                  <c:v>3.5527306725953355E-8</c:v>
                </c:pt>
                <c:pt idx="282">
                  <c:v>3.0764841397679411E-8</c:v>
                </c:pt>
                <c:pt idx="283">
                  <c:v>2.6621766154201286E-8</c:v>
                </c:pt>
                <c:pt idx="284">
                  <c:v>2.3020186447392261E-8</c:v>
                </c:pt>
                <c:pt idx="285">
                  <c:v>1.9891640335092085E-8</c:v>
                </c:pt>
                <c:pt idx="286">
                  <c:v>1.7176004613830277E-8</c:v>
                </c:pt>
                <c:pt idx="287">
                  <c:v>1.4820521538751177E-8</c:v>
                </c:pt>
                <c:pt idx="288">
                  <c:v>1.2778933625801666E-8</c:v>
                </c:pt>
                <c:pt idx="289">
                  <c:v>1.1010715231648991E-8</c:v>
                </c:pt>
                <c:pt idx="290">
                  <c:v>9.480390703404687E-9</c:v>
                </c:pt>
                <c:pt idx="291">
                  <c:v>8.1569298907076307E-9</c:v>
                </c:pt>
                <c:pt idx="292">
                  <c:v>7.0132127242853996E-9</c:v>
                </c:pt>
                <c:pt idx="293">
                  <c:v>6.0255553946034077E-9</c:v>
                </c:pt>
                <c:pt idx="294">
                  <c:v>5.1732914180559677E-9</c:v>
                </c:pt>
                <c:pt idx="295">
                  <c:v>4.4384015623826708E-9</c:v>
                </c:pt>
                <c:pt idx="296">
                  <c:v>3.8051872232700077E-9</c:v>
                </c:pt>
                <c:pt idx="297">
                  <c:v>3.2599824057032628E-9</c:v>
                </c:pt>
                <c:pt idx="298">
                  <c:v>2.7908999715006277E-9</c:v>
                </c:pt>
                <c:pt idx="299">
                  <c:v>2.3876082731793681E-9</c:v>
                </c:pt>
                <c:pt idx="300">
                  <c:v>2.0411347081341217E-9</c:v>
                </c:pt>
                <c:pt idx="301">
                  <c:v>1.7436931000044564E-9</c:v>
                </c:pt>
                <c:pt idx="302">
                  <c:v>1.4885321497255143E-9</c:v>
                </c:pt>
                <c:pt idx="303">
                  <c:v>1.2698025004730268E-9</c:v>
                </c:pt>
                <c:pt idx="304">
                  <c:v>1.0824402316418026E-9</c:v>
                </c:pt>
                <c:pt idx="305">
                  <c:v>9.2206484000207557E-10</c:v>
                </c:pt>
                <c:pt idx="306">
                  <c:v>7.8488998389233237E-10</c:v>
                </c:pt>
                <c:pt idx="307">
                  <c:v>6.6764546114376042E-10</c:v>
                </c:pt>
                <c:pt idx="308">
                  <c:v>5.6750906560185807E-10</c:v>
                </c:pt>
                <c:pt idx="309">
                  <c:v>4.8204712263435094E-10</c:v>
                </c:pt>
                <c:pt idx="310">
                  <c:v>4.0916264273665079E-10</c:v>
                </c:pt>
                <c:pt idx="311">
                  <c:v>3.4705015594723815E-10</c:v>
                </c:pt>
                <c:pt idx="312">
                  <c:v>2.9415639979473842E-10</c:v>
                </c:pt>
                <c:pt idx="313">
                  <c:v>2.491461313063929E-10</c:v>
                </c:pt>
                <c:pt idx="314">
                  <c:v>2.1087242047436657E-10</c:v>
                </c:pt>
                <c:pt idx="315">
                  <c:v>1.7835085964469453E-10</c:v>
                </c:pt>
                <c:pt idx="316">
                  <c:v>1.5073719159685365E-10</c:v>
                </c:pt>
                <c:pt idx="317">
                  <c:v>1.2730791955362257E-10</c:v>
                </c:pt>
                <c:pt idx="318">
                  <c:v>1.0744351584368475E-10</c:v>
                </c:pt>
                <c:pt idx="319">
                  <c:v>9.0613893191922616E-11</c:v>
                </c:pt>
                <c:pt idx="320">
                  <c:v>7.6365844317819718E-11</c:v>
                </c:pt>
                <c:pt idx="321">
                  <c:v>6.4312192294188136E-11</c:v>
                </c:pt>
                <c:pt idx="322">
                  <c:v>5.4122426507470919E-11</c:v>
                </c:pt>
                <c:pt idx="323">
                  <c:v>4.5514627560626438E-11</c:v>
                </c:pt>
                <c:pt idx="324">
                  <c:v>3.8248509511931298E-11</c:v>
                </c:pt>
                <c:pt idx="325">
                  <c:v>3.211942984295911E-11</c:v>
                </c:pt>
                <c:pt idx="326">
                  <c:v>2.695323684916102E-11</c:v>
                </c:pt>
                <c:pt idx="327">
                  <c:v>2.2601841061464968E-11</c:v>
                </c:pt>
                <c:pt idx="328">
                  <c:v>1.8939412117258171E-11</c:v>
                </c:pt>
                <c:pt idx="329">
                  <c:v>1.5859115453270335E-11</c:v>
                </c:pt>
                <c:pt idx="330">
                  <c:v>1.3270314512725798E-11</c:v>
                </c:pt>
                <c:pt idx="331">
                  <c:v>1.1096174041218163E-11</c:v>
                </c:pt>
                <c:pt idx="332">
                  <c:v>9.2716086643650984E-12</c:v>
                </c:pt>
                <c:pt idx="333">
                  <c:v>7.7415284496933025E-12</c:v>
                </c:pt>
                <c:pt idx="334">
                  <c:v>6.4593396918706568E-12</c:v>
                </c:pt>
                <c:pt idx="335">
                  <c:v>5.3856648448871888E-12</c:v>
                </c:pt>
                <c:pt idx="336">
                  <c:v>4.487250463480916E-12</c:v>
                </c:pt>
                <c:pt idx="337">
                  <c:v>3.7360363027770046E-12</c:v>
                </c:pt>
                <c:pt idx="338">
                  <c:v>3.1083624423185142E-12</c:v>
                </c:pt>
                <c:pt idx="339">
                  <c:v>2.5842945210268551E-12</c:v>
                </c:pt>
                <c:pt idx="340">
                  <c:v>2.147049956925641E-12</c:v>
                </c:pt>
                <c:pt idx="341">
                  <c:v>1.7825104356731408E-12</c:v>
                </c:pt>
                <c:pt idx="342">
                  <c:v>1.4788080341431784E-12</c:v>
                </c:pt>
                <c:pt idx="343">
                  <c:v>1.2259741424406812E-12</c:v>
                </c:pt>
                <c:pt idx="344">
                  <c:v>1.0156418974209639E-12</c:v>
                </c:pt>
                <c:pt idx="345">
                  <c:v>8.4079417583943997E-13</c:v>
                </c:pt>
                <c:pt idx="346">
                  <c:v>6.9555034435757395E-13</c:v>
                </c:pt>
                <c:pt idx="347">
                  <c:v>5.7498595176328799E-13</c:v>
                </c:pt>
                <c:pt idx="348">
                  <c:v>4.7498039770014143E-13</c:v>
                </c:pt>
                <c:pt idx="349">
                  <c:v>3.9208834088202118E-13</c:v>
                </c:pt>
                <c:pt idx="350">
                  <c:v>3.2343123466236612E-13</c:v>
                </c:pt>
                <c:pt idx="351">
                  <c:v>2.6660591322675857E-13</c:v>
                </c:pt>
                <c:pt idx="352">
                  <c:v>2.196076099852325E-13</c:v>
                </c:pt>
                <c:pt idx="353">
                  <c:v>1.8076518170256977E-13</c:v>
                </c:pt>
                <c:pt idx="354">
                  <c:v>1.4868664682317058E-13</c:v>
                </c:pt>
                <c:pt idx="355">
                  <c:v>1.2221343236648787E-13</c:v>
                </c:pt>
                <c:pt idx="356">
                  <c:v>1.0038196763944579E-13</c:v>
                </c:pt>
                <c:pt idx="357">
                  <c:v>8.2391470831456823E-14</c:v>
                </c:pt>
                <c:pt idx="358">
                  <c:v>6.7576951497370806E-14</c:v>
                </c:pt>
                <c:pt idx="359">
                  <c:v>5.5386602448021943E-14</c:v>
                </c:pt>
                <c:pt idx="360">
                  <c:v>4.5362882489962941E-14</c:v>
                </c:pt>
                <c:pt idx="361">
                  <c:v>3.7126700080399015E-14</c:v>
                </c:pt>
                <c:pt idx="362">
                  <c:v>3.0364200119750667E-14</c:v>
                </c:pt>
                <c:pt idx="363">
                  <c:v>2.481573422052634E-14</c:v>
                </c:pt>
                <c:pt idx="364">
                  <c:v>2.0266660947945767E-14</c:v>
                </c:pt>
                <c:pt idx="365">
                  <c:v>1.6539678506916321E-14</c:v>
                </c:pt>
                <c:pt idx="366">
                  <c:v>1.3488439675721237E-14</c:v>
                </c:pt>
                <c:pt idx="367">
                  <c:v>1.0992238761839606E-14</c:v>
                </c:pt>
                <c:pt idx="368">
                  <c:v>8.9515940919617243E-15</c:v>
                </c:pt>
                <c:pt idx="369">
                  <c:v>7.2845779952378559E-15</c:v>
                </c:pt>
                <c:pt idx="370">
                  <c:v>5.9237702046732857E-15</c:v>
                </c:pt>
                <c:pt idx="371">
                  <c:v>4.8137307747140183E-15</c:v>
                </c:pt>
                <c:pt idx="372">
                  <c:v>3.9089055790016506E-15</c:v>
                </c:pt>
                <c:pt idx="373">
                  <c:v>3.1718917085709339E-15</c:v>
                </c:pt>
                <c:pt idx="374">
                  <c:v>2.5720020598540726E-15</c:v>
                </c:pt>
                <c:pt idx="375">
                  <c:v>2.0840784420412143E-15</c:v>
                </c:pt>
                <c:pt idx="376">
                  <c:v>1.6875109482473478E-15</c:v>
                </c:pt>
                <c:pt idx="377">
                  <c:v>1.365428381605415E-15</c:v>
                </c:pt>
                <c:pt idx="378">
                  <c:v>1.1040304232595108E-15</c:v>
                </c:pt>
                <c:pt idx="379">
                  <c:v>8.9203715800016179E-16</c:v>
                </c:pt>
                <c:pt idx="380">
                  <c:v>7.2023569008122805E-16</c:v>
                </c:pt>
                <c:pt idx="381">
                  <c:v>5.8110701741929868E-16</c:v>
                </c:pt>
                <c:pt idx="382">
                  <c:v>4.6851919716236913E-16</c:v>
                </c:pt>
                <c:pt idx="383">
                  <c:v>3.7747522235306405E-16</c:v>
                </c:pt>
                <c:pt idx="384">
                  <c:v>3.0390601619043042E-16</c:v>
                </c:pt>
                <c:pt idx="385">
                  <c:v>2.4450060283717677E-16</c:v>
                </c:pt>
                <c:pt idx="386">
                  <c:v>1.9656688692755845E-16</c:v>
                </c:pt>
                <c:pt idx="387">
                  <c:v>1.5791761412749267E-16</c:v>
                </c:pt>
                <c:pt idx="388">
                  <c:v>1.2677703102473683E-16</c:v>
                </c:pt>
                <c:pt idx="389">
                  <c:v>1.0170454672280068E-16</c:v>
                </c:pt>
                <c:pt idx="390">
                  <c:v>8.1532347918419651E-17</c:v>
                </c:pt>
                <c:pt idx="391">
                  <c:v>6.5314456644145902E-17</c:v>
                </c:pt>
                <c:pt idx="392">
                  <c:v>5.2285164200321867E-17</c:v>
                </c:pt>
                <c:pt idx="393">
                  <c:v>4.1825141891650813E-17</c:v>
                </c:pt>
                <c:pt idx="394">
                  <c:v>3.3433832200124254E-17</c:v>
                </c:pt>
                <c:pt idx="395">
                  <c:v>2.67069739436447E-17</c:v>
                </c:pt>
                <c:pt idx="396">
                  <c:v>2.1318320921403303E-17</c:v>
                </c:pt>
                <c:pt idx="397">
                  <c:v>1.7004783126212212E-17</c:v>
                </c:pt>
                <c:pt idx="398">
                  <c:v>1.3554359118338817E-17</c:v>
                </c:pt>
                <c:pt idx="399">
                  <c:v>1.0796342839835437E-17</c:v>
                </c:pt>
                <c:pt idx="400">
                  <c:v>8.5933823439311785E-18</c:v>
                </c:pt>
                <c:pt idx="401">
                  <c:v>6.8350452170975678E-18</c:v>
                </c:pt>
                <c:pt idx="402">
                  <c:v>5.4326088589394722E-18</c:v>
                </c:pt>
                <c:pt idx="403">
                  <c:v>4.3148457191354511E-18</c:v>
                </c:pt>
                <c:pt idx="404">
                  <c:v>3.4246161056899896E-18</c:v>
                </c:pt>
                <c:pt idx="405">
                  <c:v>2.7161159544013187E-18</c:v>
                </c:pt>
                <c:pt idx="406">
                  <c:v>2.152655371152801E-18</c:v>
                </c:pt>
                <c:pt idx="407">
                  <c:v>1.7048669682697268E-18</c:v>
                </c:pt>
                <c:pt idx="408">
                  <c:v>1.3492619539904922E-18</c:v>
                </c:pt>
                <c:pt idx="409">
                  <c:v>1.0670673736683899E-18</c:v>
                </c:pt>
                <c:pt idx="410">
                  <c:v>8.432904785392591E-19</c:v>
                </c:pt>
                <c:pt idx="411">
                  <c:v>6.6596643503262776E-19</c:v>
                </c:pt>
                <c:pt idx="412">
                  <c:v>5.2555391325067055E-19</c:v>
                </c:pt>
                <c:pt idx="413">
                  <c:v>4.1444985877807596E-19</c:v>
                </c:pt>
                <c:pt idx="414">
                  <c:v>3.2660024527858494E-19</c:v>
                </c:pt>
                <c:pt idx="415">
                  <c:v>2.5718806198891373E-19</c:v>
                </c:pt>
                <c:pt idx="416">
                  <c:v>2.023834029208554E-19</c:v>
                </c:pt>
                <c:pt idx="417">
                  <c:v>1.5914345076584293E-19</c:v>
                </c:pt>
                <c:pt idx="418">
                  <c:v>1.2505251669624616E-19</c:v>
                </c:pt>
                <c:pt idx="419">
                  <c:v>9.8194212319493482E-20</c:v>
                </c:pt>
                <c:pt idx="420">
                  <c:v>7.7049377414103073E-20</c:v>
                </c:pt>
                <c:pt idx="421">
                  <c:v>6.041463634441857E-20</c:v>
                </c:pt>
                <c:pt idx="422">
                  <c:v>4.7337463827969336E-20</c:v>
                </c:pt>
                <c:pt idx="423">
                  <c:v>3.706445304053895E-20</c:v>
                </c:pt>
                <c:pt idx="424">
                  <c:v>2.9000133272639783E-20</c:v>
                </c:pt>
                <c:pt idx="425">
                  <c:v>2.2674210836237559E-20</c:v>
                </c:pt>
                <c:pt idx="426">
                  <c:v>1.7715530263825693E-20</c:v>
                </c:pt>
                <c:pt idx="427">
                  <c:v>1.3831392975359105E-20</c:v>
                </c:pt>
                <c:pt idx="428">
                  <c:v>1.0791143647456507E-20</c:v>
                </c:pt>
                <c:pt idx="429">
                  <c:v>8.4131535546830627E-21</c:v>
                </c:pt>
                <c:pt idx="430">
                  <c:v>6.554505711764786E-21</c:v>
                </c:pt>
                <c:pt idx="431">
                  <c:v>5.1028272450301815E-21</c:v>
                </c:pt>
                <c:pt idx="432">
                  <c:v>3.9698269325248719E-21</c:v>
                </c:pt>
                <c:pt idx="433">
                  <c:v>3.0861858143405912E-21</c:v>
                </c:pt>
                <c:pt idx="434">
                  <c:v>2.3975206493606877E-21</c:v>
                </c:pt>
                <c:pt idx="435">
                  <c:v>1.8611973725063037E-21</c:v>
                </c:pt>
                <c:pt idx="436">
                  <c:v>1.4438174750102653E-21</c:v>
                </c:pt>
                <c:pt idx="437">
                  <c:v>1.1192367090648857E-21</c:v>
                </c:pt>
                <c:pt idx="438">
                  <c:v>8.6700456970722701E-22</c:v>
                </c:pt>
                <c:pt idx="439">
                  <c:v>6.7113612481586726E-22</c:v>
                </c:pt>
                <c:pt idx="440">
                  <c:v>5.191461458089776E-22</c:v>
                </c:pt>
                <c:pt idx="441">
                  <c:v>4.0129009576677408E-22</c:v>
                </c:pt>
                <c:pt idx="442">
                  <c:v>3.099681253441063E-22</c:v>
                </c:pt>
                <c:pt idx="443">
                  <c:v>2.3925742325899473E-22</c:v>
                </c:pt>
                <c:pt idx="444">
                  <c:v>1.8454555722019354E-22</c:v>
                </c:pt>
                <c:pt idx="445">
                  <c:v>1.4224321389113809E-22</c:v>
                </c:pt>
                <c:pt idx="446">
                  <c:v>1.095593146964742E-22</c:v>
                </c:pt>
                <c:pt idx="447">
                  <c:v>8.4325096429925303E-23</c:v>
                </c:pt>
                <c:pt idx="448">
                  <c:v>6.4856599544424664E-23</c:v>
                </c:pt>
                <c:pt idx="449">
                  <c:v>4.9847260073503841E-23</c:v>
                </c:pt>
                <c:pt idx="450">
                  <c:v>3.8284078441999571E-23</c:v>
                </c:pt>
                <c:pt idx="451">
                  <c:v>2.9382239327574458E-23</c:v>
                </c:pt>
                <c:pt idx="452">
                  <c:v>2.2534160077097375E-23</c:v>
                </c:pt>
                <c:pt idx="453">
                  <c:v>1.7269813481468315E-23</c:v>
                </c:pt>
                <c:pt idx="454">
                  <c:v>1.3225853500971579E-23</c:v>
                </c:pt>
                <c:pt idx="455">
                  <c:v>1.0121609021606651E-23</c:v>
                </c:pt>
                <c:pt idx="456">
                  <c:v>7.740431926596164E-24</c:v>
                </c:pt>
                <c:pt idx="457">
                  <c:v>5.9152161993146815E-24</c:v>
                </c:pt>
                <c:pt idx="458">
                  <c:v>4.5171637920922197E-24</c:v>
                </c:pt>
                <c:pt idx="459">
                  <c:v>3.4470758742308108E-24</c:v>
                </c:pt>
                <c:pt idx="460">
                  <c:v>2.6286068548740025E-24</c:v>
                </c:pt>
                <c:pt idx="461">
                  <c:v>2.0030427490740297E-24</c:v>
                </c:pt>
                <c:pt idx="462">
                  <c:v>1.5252624861316667E-24</c:v>
                </c:pt>
                <c:pt idx="463">
                  <c:v>1.16061652132773E-24</c:v>
                </c:pt>
                <c:pt idx="464">
                  <c:v>8.8251622116165209E-25</c:v>
                </c:pt>
                <c:pt idx="465">
                  <c:v>6.7057357249537829E-25</c:v>
                </c:pt>
                <c:pt idx="466">
                  <c:v>5.0916666121574722E-25</c:v>
                </c:pt>
                <c:pt idx="467">
                  <c:v>3.8633430549298543E-25</c:v>
                </c:pt>
                <c:pt idx="468">
                  <c:v>2.9292495871839505E-25</c:v>
                </c:pt>
                <c:pt idx="469">
                  <c:v>2.2194188457693859E-25</c:v>
                </c:pt>
                <c:pt idx="470">
                  <c:v>1.6803972040127822E-25</c:v>
                </c:pt>
                <c:pt idx="471">
                  <c:v>1.2713772028843712E-25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Automated!$D$64</c:f>
              <c:strCache>
                <c:ptCount val="1"/>
                <c:pt idx="0">
                  <c:v>b</c:v>
                </c:pt>
              </c:strCache>
            </c:strRef>
          </c:tx>
          <c:spPr>
            <a:ln w="44450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Automated!$B$65:$B$536</c:f>
              <c:numCache>
                <c:formatCode>0.0</c:formatCode>
                <c:ptCount val="472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</c:numCache>
            </c:numRef>
          </c:xVal>
          <c:yVal>
            <c:numRef>
              <c:f>Automated!$D$65:$D$536</c:f>
              <c:numCache>
                <c:formatCode>0.00</c:formatCode>
                <c:ptCount val="472"/>
                <c:pt idx="0">
                  <c:v>4.9426778352965348E-17</c:v>
                </c:pt>
                <c:pt idx="1">
                  <c:v>5.9929299831234818E-17</c:v>
                </c:pt>
                <c:pt idx="2">
                  <c:v>7.2625355853907091E-17</c:v>
                </c:pt>
                <c:pt idx="3">
                  <c:v>8.7964920163544516E-17</c:v>
                </c:pt>
                <c:pt idx="4">
                  <c:v>1.0648855213252231E-16</c:v>
                </c:pt>
                <c:pt idx="5">
                  <c:v>1.2884527637177032E-16</c:v>
                </c:pt>
                <c:pt idx="6">
                  <c:v>1.5581391880619707E-16</c:v>
                </c:pt>
                <c:pt idx="7">
                  <c:v>1.8832855290993469E-16</c:v>
                </c:pt>
                <c:pt idx="8">
                  <c:v>2.2750883057718294E-16</c:v>
                </c:pt>
                <c:pt idx="9">
                  <c:v>2.7469611465712833E-16</c:v>
                </c:pt>
                <c:pt idx="10">
                  <c:v>3.3149649832503176E-16</c:v>
                </c:pt>
                <c:pt idx="11">
                  <c:v>3.9983199466893348E-16</c:v>
                </c:pt>
                <c:pt idx="12">
                  <c:v>4.8200141337413705E-16</c:v>
                </c:pt>
                <c:pt idx="13">
                  <c:v>5.8075271630235593E-16</c:v>
                </c:pt>
                <c:pt idx="14">
                  <c:v>6.9936896723445852E-16</c:v>
                </c:pt>
                <c:pt idx="15">
                  <c:v>8.4177037141704741E-16</c:v>
                </c:pt>
                <c:pt idx="16">
                  <c:v>1.0126353475577386E-15</c:v>
                </c:pt>
                <c:pt idx="17">
                  <c:v>1.2175440998991849E-15</c:v>
                </c:pt>
                <c:pt idx="18">
                  <c:v>1.463148774191356E-15</c:v>
                </c:pt>
                <c:pt idx="19">
                  <c:v>1.7573750041736515E-15</c:v>
                </c:pt>
                <c:pt idx="20">
                  <c:v>2.1096605024872815E-15</c:v>
                </c:pt>
                <c:pt idx="21">
                  <c:v>2.5312373426035066E-15</c:v>
                </c:pt>
                <c:pt idx="22">
                  <c:v>3.0354657405836991E-15</c:v>
                </c:pt>
                <c:pt idx="23">
                  <c:v>3.6382285054048705E-15</c:v>
                </c:pt>
                <c:pt idx="24">
                  <c:v>4.3583969168231236E-15</c:v>
                </c:pt>
                <c:pt idx="25">
                  <c:v>5.2183806481532507E-15</c:v>
                </c:pt>
                <c:pt idx="26">
                  <c:v>6.2447765217870961E-15</c:v>
                </c:pt>
                <c:pt idx="27">
                  <c:v>7.4691334185578441E-15</c:v>
                </c:pt>
                <c:pt idx="28">
                  <c:v>8.9288536169934263E-15</c:v>
                </c:pt>
                <c:pt idx="29">
                  <c:v>1.0668254283107352E-14</c:v>
                </c:pt>
                <c:pt idx="30">
                  <c:v>1.2739816844272566E-14</c:v>
                </c:pt>
                <c:pt idx="31">
                  <c:v>1.5205656652730506E-14</c:v>
                </c:pt>
                <c:pt idx="32">
                  <c:v>1.8139250780237288E-14</c:v>
                </c:pt>
                <c:pt idx="33">
                  <c:v>2.1627468106161303E-14</c:v>
                </c:pt>
                <c:pt idx="34">
                  <c:v>2.5772953206425596E-14</c:v>
                </c:pt>
                <c:pt idx="35">
                  <c:v>3.0696924080607369E-14</c:v>
                </c:pt>
                <c:pt idx="36">
                  <c:v>3.6542453654106664E-14</c:v>
                </c:pt>
                <c:pt idx="37">
                  <c:v>4.3478316474249925E-14</c:v>
                </c:pt>
                <c:pt idx="38">
                  <c:v>5.1703495327903716E-14</c:v>
                </c:pt>
                <c:pt idx="39">
                  <c:v>6.1452457924512782E-14</c:v>
                </c:pt>
                <c:pt idx="40">
                  <c:v>7.3001331634774849E-14</c:v>
                </c:pt>
                <c:pt idx="41">
                  <c:v>8.6675124921266333E-14</c:v>
                </c:pt>
                <c:pt idx="42">
                  <c:v>1.0285616796717195E-13</c:v>
                </c:pt>
                <c:pt idx="43">
                  <c:v>1.219939725885577E-13</c:v>
                </c:pt>
                <c:pt idx="44">
                  <c:v>1.4461674336029565E-13</c:v>
                </c:pt>
                <c:pt idx="45">
                  <c:v>1.7134480863181357E-13</c:v>
                </c:pt>
                <c:pt idx="46">
                  <c:v>2.0290628248351647E-13</c:v>
                </c:pt>
                <c:pt idx="47">
                  <c:v>2.4015531750831646E-13</c:v>
                </c:pt>
                <c:pt idx="48">
                  <c:v>2.8409336454365091E-13</c:v>
                </c:pt>
                <c:pt idx="49">
                  <c:v>3.3589392020897018E-13</c:v>
                </c:pt>
                <c:pt idx="50">
                  <c:v>3.9693131755483878E-13</c:v>
                </c:pt>
                <c:pt idx="51">
                  <c:v>4.6881420070708513E-13</c:v>
                </c:pt>
                <c:pt idx="52">
                  <c:v>5.5342442269088464E-13</c:v>
                </c:pt>
                <c:pt idx="53">
                  <c:v>6.529622184639563E-13</c:v>
                </c:pt>
                <c:pt idx="54">
                  <c:v>7.6999863464149894E-13</c:v>
                </c:pt>
                <c:pt idx="55">
                  <c:v>9.0753634580526271E-13</c:v>
                </c:pt>
                <c:pt idx="56">
                  <c:v>1.0690801573196403E-12</c:v>
                </c:pt>
                <c:pt idx="57">
                  <c:v>1.2587186892493527E-12</c:v>
                </c:pt>
                <c:pt idx="58">
                  <c:v>1.4812189587111903E-12</c:v>
                </c:pt>
                <c:pt idx="59">
                  <c:v>1.7421358326730826E-12</c:v>
                </c:pt>
                <c:pt idx="60">
                  <c:v>2.0479386142255689E-12</c:v>
                </c:pt>
                <c:pt idx="61">
                  <c:v>2.4061573576552847E-12</c:v>
                </c:pt>
                <c:pt idx="62">
                  <c:v>2.825551886853287E-12</c:v>
                </c:pt>
                <c:pt idx="63">
                  <c:v>3.316306924023182E-12</c:v>
                </c:pt>
                <c:pt idx="64">
                  <c:v>3.8902572284556226E-12</c:v>
                </c:pt>
                <c:pt idx="65">
                  <c:v>4.5611472063589427E-12</c:v>
                </c:pt>
                <c:pt idx="66">
                  <c:v>5.3449300914486872E-12</c:v>
                </c:pt>
                <c:pt idx="67">
                  <c:v>6.2601125224113568E-12</c:v>
                </c:pt>
                <c:pt idx="68">
                  <c:v>7.3281511689524263E-12</c:v>
                </c:pt>
                <c:pt idx="69">
                  <c:v>8.5739089958193246E-12</c:v>
                </c:pt>
                <c:pt idx="70">
                  <c:v>1.0026179818453716E-11</c:v>
                </c:pt>
                <c:pt idx="71">
                  <c:v>1.1718291011033613E-11</c:v>
                </c:pt>
                <c:pt idx="72">
                  <c:v>1.3688795595851547E-11</c:v>
                </c:pt>
                <c:pt idx="73">
                  <c:v>1.5982266492675967E-11</c:v>
                </c:pt>
                <c:pt idx="74">
                  <c:v>1.8650207460823387E-11</c:v>
                </c:pt>
                <c:pt idx="75">
                  <c:v>2.1752097250726497E-11</c:v>
                </c:pt>
                <c:pt idx="76">
                  <c:v>2.5356585724402824E-11</c:v>
                </c:pt>
                <c:pt idx="77">
                  <c:v>2.9542863237359936E-11</c:v>
                </c:pt>
                <c:pt idx="78">
                  <c:v>3.4402227433747598E-11</c:v>
                </c:pt>
                <c:pt idx="79">
                  <c:v>4.0039874831732675E-11</c:v>
                </c:pt>
                <c:pt idx="80">
                  <c:v>4.6576948211380853E-11</c:v>
                </c:pt>
                <c:pt idx="81">
                  <c:v>5.4152874912094211E-11</c:v>
                </c:pt>
                <c:pt idx="82">
                  <c:v>6.292803575564768E-11</c:v>
                </c:pt>
                <c:pt idx="83">
                  <c:v>7.3086809495035805E-11</c:v>
                </c:pt>
                <c:pt idx="84">
                  <c:v>8.4841043516297771E-11</c:v>
                </c:pt>
                <c:pt idx="85">
                  <c:v>9.843400806526604E-11</c:v>
                </c:pt>
                <c:pt idx="86">
                  <c:v>1.1414489861697948E-10</c:v>
                </c:pt>
                <c:pt idx="87">
                  <c:v>1.3229395924439204E-10</c:v>
                </c:pt>
                <c:pt idx="88">
                  <c:v>1.5324830907694877E-10</c:v>
                </c:pt>
                <c:pt idx="89">
                  <c:v>1.774285642812624E-10</c:v>
                </c:pt>
                <c:pt idx="90">
                  <c:v>2.0531635957000827E-10</c:v>
                </c:pt>
                <c:pt idx="91">
                  <c:v>2.3746288618860643E-10</c:v>
                </c:pt>
                <c:pt idx="92">
                  <c:v>2.744985777937474E-10</c:v>
                </c:pt>
                <c:pt idx="93">
                  <c:v>3.1714409179024423E-10</c:v>
                </c:pt>
                <c:pt idx="94">
                  <c:v>3.6622275171666426E-10</c:v>
                </c:pt>
                <c:pt idx="95">
                  <c:v>4.2267463636768965E-10</c:v>
                </c:pt>
                <c:pt idx="96">
                  <c:v>4.8757252373398796E-10</c:v>
                </c:pt>
                <c:pt idx="97">
                  <c:v>5.6213992277208131E-10</c:v>
                </c:pt>
                <c:pt idx="98">
                  <c:v>6.4777145375418276E-10</c:v>
                </c:pt>
                <c:pt idx="99">
                  <c:v>7.460558687838616E-10</c:v>
                </c:pt>
                <c:pt idx="100">
                  <c:v>8.588020383175299E-10</c:v>
                </c:pt>
                <c:pt idx="101">
                  <c:v>9.8806826755422134E-10</c:v>
                </c:pt>
                <c:pt idx="102">
                  <c:v>1.1361953487290935E-9</c:v>
                </c:pt>
                <c:pt idx="103">
                  <c:v>1.3058438020865913E-9</c:v>
                </c:pt>
                <c:pt idx="104">
                  <c:v>1.5000358100717489E-9</c:v>
                </c:pt>
                <c:pt idx="105">
                  <c:v>1.7222024065575215E-9</c:v>
                </c:pt>
                <c:pt idx="106">
                  <c:v>1.9762365462611485E-9</c:v>
                </c:pt>
                <c:pt idx="107">
                  <c:v>2.2665527494776407E-9</c:v>
                </c:pt>
                <c:pt idx="108">
                  <c:v>2.598154094509354E-9</c:v>
                </c:pt>
                <c:pt idx="109">
                  <c:v>2.9767074153845558E-9</c:v>
                </c:pt>
                <c:pt idx="110">
                  <c:v>3.4086276563820373E-9</c:v>
                </c:pt>
                <c:pt idx="111">
                  <c:v>3.901172438318136E-9</c:v>
                </c:pt>
                <c:pt idx="112">
                  <c:v>4.4625480053798312E-9</c:v>
                </c:pt>
                <c:pt idx="113">
                  <c:v>5.1020278464424018E-9</c:v>
                </c:pt>
                <c:pt idx="114">
                  <c:v>5.8300854223083819E-9</c:v>
                </c:pt>
                <c:pt idx="115">
                  <c:v>6.6585425812351547E-9</c:v>
                </c:pt>
                <c:pt idx="116">
                  <c:v>7.6007354106594495E-9</c:v>
                </c:pt>
                <c:pt idx="117">
                  <c:v>8.6716994544354392E-9</c:v>
                </c:pt>
                <c:pt idx="118">
                  <c:v>9.8883764235349955E-9</c:v>
                </c:pt>
                <c:pt idx="119">
                  <c:v>1.1269844745462231E-8</c:v>
                </c:pt>
                <c:pt idx="120">
                  <c:v>1.2837576535157887E-8</c:v>
                </c:pt>
                <c:pt idx="121">
                  <c:v>1.4615723829572573E-8</c:v>
                </c:pt>
                <c:pt idx="122">
                  <c:v>1.6631437211135408E-8</c:v>
                </c:pt>
                <c:pt idx="123">
                  <c:v>1.8915220253919773E-8</c:v>
                </c:pt>
                <c:pt idx="124">
                  <c:v>2.1501323562412181E-8</c:v>
                </c:pt>
                <c:pt idx="125">
                  <c:v>2.4428182538551982E-8</c:v>
                </c:pt>
                <c:pt idx="126">
                  <c:v>2.7738903410380611E-8</c:v>
                </c:pt>
                <c:pt idx="127">
                  <c:v>3.148180248761321E-8</c:v>
                </c:pt>
                <c:pt idx="128">
                  <c:v>3.5711004078235129E-8</c:v>
                </c:pt>
                <c:pt idx="129">
                  <c:v>4.0487103008505396E-8</c:v>
                </c:pt>
                <c:pt idx="130">
                  <c:v>4.5877898239312546E-8</c:v>
                </c:pt>
                <c:pt idx="131">
                  <c:v>5.1959204667632581E-8</c:v>
                </c:pt>
                <c:pt idx="132">
                  <c:v>5.8815750845958322E-8</c:v>
                </c:pt>
                <c:pt idx="133">
                  <c:v>6.6542171048268304E-8</c:v>
                </c:pt>
                <c:pt idx="134">
                  <c:v>7.5244100861731365E-8</c:v>
                </c:pt>
                <c:pt idx="135">
                  <c:v>8.5039386292460884E-8</c:v>
                </c:pt>
                <c:pt idx="136">
                  <c:v>9.605941724486721E-8</c:v>
                </c:pt>
                <c:pt idx="137">
                  <c:v>1.084505971713454E-7</c:v>
                </c:pt>
                <c:pt idx="138">
                  <c:v>1.2237596169609149E-7</c:v>
                </c:pt>
                <c:pt idx="139">
                  <c:v>1.3801696009784175E-7</c:v>
                </c:pt>
                <c:pt idx="140">
                  <c:v>1.5557541469540519E-7</c:v>
                </c:pt>
                <c:pt idx="141">
                  <c:v>1.7527567442137326E-7</c:v>
                </c:pt>
                <c:pt idx="142">
                  <c:v>1.9736698019761602E-7</c:v>
                </c:pt>
                <c:pt idx="143">
                  <c:v>2.2212606114564887E-7</c:v>
                </c:pt>
                <c:pt idx="144">
                  <c:v>2.4985998218013059E-7</c:v>
                </c:pt>
                <c:pt idx="145">
                  <c:v>2.8090926514920483E-7</c:v>
                </c:pt>
                <c:pt idx="146">
                  <c:v>3.1565130740571303E-7</c:v>
                </c:pt>
                <c:pt idx="147">
                  <c:v>3.5450412352301842E-7</c:v>
                </c:pt>
                <c:pt idx="148">
                  <c:v>3.9793043781283274E-7</c:v>
                </c:pt>
                <c:pt idx="149">
                  <c:v>4.4644215736444118E-7</c:v>
                </c:pt>
                <c:pt idx="150">
                  <c:v>5.0060525750957283E-7</c:v>
                </c:pt>
                <c:pt idx="151">
                  <c:v>5.6104511392883671E-7</c:v>
                </c:pt>
                <c:pt idx="152">
                  <c:v>6.2845231805840486E-7</c:v>
                </c:pt>
                <c:pt idx="153">
                  <c:v>7.0358901503304031E-7</c:v>
                </c:pt>
                <c:pt idx="154">
                  <c:v>7.8729580611733894E-7</c:v>
                </c:pt>
                <c:pt idx="155">
                  <c:v>8.804992604341831E-7</c:v>
                </c:pt>
                <c:pt idx="156">
                  <c:v>9.8422008380068705E-7</c:v>
                </c:pt>
                <c:pt idx="157">
                  <c:v>1.0995819956296589E-6</c:v>
                </c:pt>
                <c:pt idx="158">
                  <c:v>1.2278213681504906E-6</c:v>
                </c:pt>
                <c:pt idx="159">
                  <c:v>1.3702976856487093E-6</c:v>
                </c:pt>
                <c:pt idx="160">
                  <c:v>1.5285048850183136E-6</c:v>
                </c:pt>
                <c:pt idx="161">
                  <c:v>1.7040836426652915E-6</c:v>
                </c:pt>
                <c:pt idx="162">
                  <c:v>1.898834676693405E-6</c:v>
                </c:pt>
                <c:pt idx="163">
                  <c:v>2.1147331373417249E-6</c:v>
                </c:pt>
                <c:pt idx="164">
                  <c:v>2.35394416282465E-6</c:v>
                </c:pt>
                <c:pt idx="165">
                  <c:v>2.6188396820447851E-6</c:v>
                </c:pt>
                <c:pt idx="166">
                  <c:v>2.9120165501011615E-6</c:v>
                </c:pt>
                <c:pt idx="167">
                  <c:v>3.2363161070933819E-6</c:v>
                </c:pt>
                <c:pt idx="168">
                  <c:v>3.5948452554168573E-6</c:v>
                </c:pt>
                <c:pt idx="169">
                  <c:v>3.9909991555462219E-6</c:v>
                </c:pt>
                <c:pt idx="170">
                  <c:v>4.4284856452005913E-6</c:v>
                </c:pt>
                <c:pt idx="171">
                  <c:v>4.9113514917623826E-6</c:v>
                </c:pt>
                <c:pt idx="172">
                  <c:v>5.4440105928642245E-6</c:v>
                </c:pt>
                <c:pt idx="173">
                  <c:v>6.0312742451500669E-6</c:v>
                </c:pt>
                <c:pt idx="174">
                  <c:v>6.6783836063342548E-6</c:v>
                </c:pt>
                <c:pt idx="175">
                  <c:v>7.3910444808061302E-6</c:v>
                </c:pt>
                <c:pt idx="176">
                  <c:v>8.1754645641311526E-6</c:v>
                </c:pt>
                <c:pt idx="177">
                  <c:v>9.0383932868556195E-6</c:v>
                </c:pt>
                <c:pt idx="178">
                  <c:v>9.9871644030006543E-6</c:v>
                </c:pt>
                <c:pt idx="179">
                  <c:v>1.1029741473499331E-5</c:v>
                </c:pt>
                <c:pt idx="180">
                  <c:v>1.2174766399551993E-5</c:v>
                </c:pt>
                <c:pt idx="181">
                  <c:v>1.3431611165410983E-5</c:v>
                </c:pt>
                <c:pt idx="182">
                  <c:v>1.481043295441464E-5</c:v>
                </c:pt>
                <c:pt idx="183">
                  <c:v>1.6322232806125808E-5</c:v>
                </c:pt>
                <c:pt idx="184">
                  <c:v>1.7978917986146259E-5</c:v>
                </c:pt>
                <c:pt idx="185">
                  <c:v>1.9793368243518271E-5</c:v>
                </c:pt>
                <c:pt idx="186">
                  <c:v>2.1779506133542188E-5</c:v>
                </c:pt>
                <c:pt idx="187">
                  <c:v>2.3952371586265037E-5</c:v>
                </c:pt>
                <c:pt idx="188">
                  <c:v>2.6328200902778394E-5</c:v>
                </c:pt>
                <c:pt idx="189">
                  <c:v>2.8924510362732771E-5</c:v>
                </c:pt>
                <c:pt idx="190">
                  <c:v>3.1760184627066274E-5</c:v>
                </c:pt>
                <c:pt idx="191">
                  <c:v>3.4855570119782646E-5</c:v>
                </c:pt>
                <c:pt idx="192">
                  <c:v>3.8232573571632629E-5</c:v>
                </c:pt>
                <c:pt idx="193">
                  <c:v>4.1914765906661517E-5</c:v>
                </c:pt>
                <c:pt idx="194">
                  <c:v>4.5927491649721507E-5</c:v>
                </c:pt>
                <c:pt idx="195">
                  <c:v>5.0297984029119829E-5</c:v>
                </c:pt>
                <c:pt idx="196">
                  <c:v>5.5055485943495228E-5</c:v>
                </c:pt>
                <c:pt idx="197">
                  <c:v>6.0231376955714195E-5</c:v>
                </c:pt>
                <c:pt idx="198">
                  <c:v>6.585930646895142E-5</c:v>
                </c:pt>
                <c:pt idx="199">
                  <c:v>7.1975333231087717E-5</c:v>
                </c:pt>
                <c:pt idx="200">
                  <c:v>7.8618071303036404E-5</c:v>
                </c:pt>
                <c:pt idx="201">
                  <c:v>8.5828842614496235E-5</c:v>
                </c:pt>
                <c:pt idx="202">
                  <c:v>9.365183621684497E-5</c:v>
                </c:pt>
                <c:pt idx="203">
                  <c:v>1.0213427432734939E-4</c:v>
                </c:pt>
                <c:pt idx="204">
                  <c:v>1.1132658524147206E-4</c:v>
                </c:pt>
                <c:pt idx="205">
                  <c:v>1.2128258317073422E-4</c:v>
                </c:pt>
                <c:pt idx="206">
                  <c:v>1.3205965504226518E-4</c:v>
                </c:pt>
                <c:pt idx="207">
                  <c:v>1.4371895427274108E-4</c:v>
                </c:pt>
                <c:pt idx="208">
                  <c:v>1.5632560150382688E-4</c:v>
                </c:pt>
                <c:pt idx="209">
                  <c:v>1.6994889225842736E-4</c:v>
                </c:pt>
                <c:pt idx="210">
                  <c:v>1.8466251144693281E-4</c:v>
                </c:pt>
                <c:pt idx="211">
                  <c:v>2.0054475462019205E-4</c:v>
                </c:pt>
                <c:pt idx="212">
                  <c:v>2.1767875583109485E-4</c:v>
                </c:pt>
                <c:pt idx="213">
                  <c:v>2.36152721929357E-4</c:v>
                </c:pt>
                <c:pt idx="214">
                  <c:v>2.5606017307436377E-4</c:v>
                </c:pt>
                <c:pt idx="215">
                  <c:v>2.7750018920869957E-4</c:v>
                </c:pt>
                <c:pt idx="216">
                  <c:v>3.0057766219029859E-4</c:v>
                </c:pt>
                <c:pt idx="217">
                  <c:v>3.2540355323397094E-4</c:v>
                </c:pt>
                <c:pt idx="218">
                  <c:v>3.520951552634376E-4</c:v>
                </c:pt>
                <c:pt idx="219">
                  <c:v>3.8077635972297226E-4</c:v>
                </c:pt>
                <c:pt idx="220">
                  <c:v>4.1157792734335564E-4</c:v>
                </c:pt>
                <c:pt idx="221">
                  <c:v>4.4463776230016755E-4</c:v>
                </c:pt>
                <c:pt idx="222">
                  <c:v>4.8010118914356906E-4</c:v>
                </c:pt>
                <c:pt idx="223">
                  <c:v>5.181212318177774E-4</c:v>
                </c:pt>
                <c:pt idx="224">
                  <c:v>5.5885889402549358E-4</c:v>
                </c:pt>
                <c:pt idx="225">
                  <c:v>6.0248344012786266E-4</c:v>
                </c:pt>
                <c:pt idx="226">
                  <c:v>6.4917267570416205E-4</c:v>
                </c:pt>
                <c:pt idx="227">
                  <c:v>6.9911322682762939E-4</c:v>
                </c:pt>
                <c:pt idx="228">
                  <c:v>7.5250081704485833E-4</c:v>
                </c:pt>
                <c:pt idx="229">
                  <c:v>8.0954054097618386E-4</c:v>
                </c:pt>
                <c:pt idx="230">
                  <c:v>8.7044713338379652E-4</c:v>
                </c:pt>
                <c:pt idx="231">
                  <c:v>9.3544523248323993E-4</c:v>
                </c:pt>
                <c:pt idx="232">
                  <c:v>1.004769636202714E-3</c:v>
                </c:pt>
                <c:pt idx="233">
                  <c:v>1.0786655500236711E-3</c:v>
                </c:pt>
                <c:pt idx="234">
                  <c:v>1.1573888249658E-3</c:v>
                </c:pt>
                <c:pt idx="235">
                  <c:v>1.2412061842101919E-3</c:v>
                </c:pt>
                <c:pt idx="236">
                  <c:v>1.3303954367864721E-3</c:v>
                </c:pt>
                <c:pt idx="237">
                  <c:v>1.4252456766835936E-3</c:v>
                </c:pt>
                <c:pt idx="238">
                  <c:v>1.5260574656802345E-3</c:v>
                </c:pt>
                <c:pt idx="239">
                  <c:v>1.6331429981296631E-3</c:v>
                </c:pt>
                <c:pt idx="240">
                  <c:v>1.7468262458762052E-3</c:v>
                </c:pt>
                <c:pt idx="241">
                  <c:v>1.8674430814265889E-3</c:v>
                </c:pt>
                <c:pt idx="242">
                  <c:v>1.9953413774497428E-3</c:v>
                </c:pt>
                <c:pt idx="243">
                  <c:v>2.1308810806339252E-3</c:v>
                </c:pt>
                <c:pt idx="244">
                  <c:v>2.2744342578908516E-3</c:v>
                </c:pt>
                <c:pt idx="245">
                  <c:v>2.4263851128631048E-3</c:v>
                </c:pt>
                <c:pt idx="246">
                  <c:v>2.5871299706644413E-3</c:v>
                </c:pt>
                <c:pt idx="247">
                  <c:v>2.7570772287631652E-3</c:v>
                </c:pt>
                <c:pt idx="248">
                  <c:v>2.9366472719068127E-3</c:v>
                </c:pt>
                <c:pt idx="249">
                  <c:v>3.1262723489829778E-3</c:v>
                </c:pt>
                <c:pt idx="250">
                  <c:v>3.3263964097165555E-3</c:v>
                </c:pt>
                <c:pt idx="251">
                  <c:v>3.5374748991184811E-3</c:v>
                </c:pt>
                <c:pt idx="252">
                  <c:v>3.7599745076258738E-3</c:v>
                </c:pt>
                <c:pt idx="253">
                  <c:v>3.9943728749089651E-3</c:v>
                </c:pt>
                <c:pt idx="254">
                  <c:v>4.2411582453664703E-3</c:v>
                </c:pt>
                <c:pt idx="255">
                  <c:v>4.5008290733890488E-3</c:v>
                </c:pt>
                <c:pt idx="256">
                  <c:v>4.7738935765402014E-3</c:v>
                </c:pt>
                <c:pt idx="257">
                  <c:v>5.060869234886343E-3</c:v>
                </c:pt>
                <c:pt idx="258">
                  <c:v>5.3622822348025033E-3</c:v>
                </c:pt>
                <c:pt idx="259">
                  <c:v>5.6786668556881243E-3</c:v>
                </c:pt>
                <c:pt idx="260">
                  <c:v>6.0105647981487436E-3</c:v>
                </c:pt>
                <c:pt idx="261">
                  <c:v>6.358524452334046E-3</c:v>
                </c:pt>
                <c:pt idx="262">
                  <c:v>6.7231001052711938E-3</c:v>
                </c:pt>
                <c:pt idx="263">
                  <c:v>7.1048510861947004E-3</c:v>
                </c:pt>
                <c:pt idx="264">
                  <c:v>7.504340849050062E-3</c:v>
                </c:pt>
                <c:pt idx="265">
                  <c:v>7.9221359915379579E-3</c:v>
                </c:pt>
                <c:pt idx="266">
                  <c:v>8.3588052102694602E-3</c:v>
                </c:pt>
                <c:pt idx="267">
                  <c:v>8.8149181918192997E-3</c:v>
                </c:pt>
                <c:pt idx="268">
                  <c:v>9.2910444396938994E-3</c:v>
                </c:pt>
                <c:pt idx="269">
                  <c:v>9.7877520374738871E-3</c:v>
                </c:pt>
                <c:pt idx="270">
                  <c:v>1.0305606348645226E-2</c:v>
                </c:pt>
                <c:pt idx="271">
                  <c:v>1.0845168653899661E-2</c:v>
                </c:pt>
                <c:pt idx="272">
                  <c:v>1.1406994726963023E-2</c:v>
                </c:pt>
                <c:pt idx="273">
                  <c:v>1.1991633350297235E-2</c:v>
                </c:pt>
                <c:pt idx="274">
                  <c:v>1.2599624772319594E-2</c:v>
                </c:pt>
                <c:pt idx="275">
                  <c:v>1.3231499108088143E-2</c:v>
                </c:pt>
                <c:pt idx="276">
                  <c:v>1.3887774685715554E-2</c:v>
                </c:pt>
                <c:pt idx="277">
                  <c:v>1.4568956341093193E-2</c:v>
                </c:pt>
                <c:pt idx="278">
                  <c:v>1.5275533663831505E-2</c:v>
                </c:pt>
                <c:pt idx="279">
                  <c:v>1.6007979197651481E-2</c:v>
                </c:pt>
                <c:pt idx="280">
                  <c:v>1.6766746598792664E-2</c:v>
                </c:pt>
                <c:pt idx="281">
                  <c:v>1.7552268756334408E-2</c:v>
                </c:pt>
                <c:pt idx="282">
                  <c:v>1.8364955878658783E-2</c:v>
                </c:pt>
                <c:pt idx="283">
                  <c:v>1.9205193550611434E-2</c:v>
                </c:pt>
                <c:pt idx="284">
                  <c:v>2.007334076624211E-2</c:v>
                </c:pt>
                <c:pt idx="285">
                  <c:v>2.0969727942325E-2</c:v>
                </c:pt>
                <c:pt idx="286">
                  <c:v>2.1894654918170824E-2</c:v>
                </c:pt>
                <c:pt idx="287">
                  <c:v>2.2848388947544429E-2</c:v>
                </c:pt>
                <c:pt idx="288">
                  <c:v>2.3831162688792481E-2</c:v>
                </c:pt>
                <c:pt idx="289">
                  <c:v>2.4843172199563366E-2</c:v>
                </c:pt>
                <c:pt idx="290">
                  <c:v>2.5884574942763965E-2</c:v>
                </c:pt>
                <c:pt idx="291">
                  <c:v>2.6955487810643088E-2</c:v>
                </c:pt>
                <c:pt idx="292">
                  <c:v>2.8055985174118298E-2</c:v>
                </c:pt>
                <c:pt idx="293">
                  <c:v>2.9186096964667899E-2</c:v>
                </c:pt>
                <c:pt idx="294">
                  <c:v>3.0345806796292955E-2</c:v>
                </c:pt>
                <c:pt idx="295">
                  <c:v>3.1535050135212898E-2</c:v>
                </c:pt>
                <c:pt idx="296">
                  <c:v>3.2753712525089317E-2</c:v>
                </c:pt>
                <c:pt idx="297">
                  <c:v>3.4001627875677475E-2</c:v>
                </c:pt>
                <c:pt idx="298">
                  <c:v>3.5278576822878813E-2</c:v>
                </c:pt>
                <c:pt idx="299">
                  <c:v>3.6584285168210773E-2</c:v>
                </c:pt>
                <c:pt idx="300">
                  <c:v>3.7918422405721346E-2</c:v>
                </c:pt>
                <c:pt idx="301">
                  <c:v>3.9280600344351539E-2</c:v>
                </c:pt>
                <c:pt idx="302">
                  <c:v>4.067037183369128E-2</c:v>
                </c:pt>
                <c:pt idx="303">
                  <c:v>4.2087229600979305E-2</c:v>
                </c:pt>
                <c:pt idx="304">
                  <c:v>4.353060520706617E-2</c:v>
                </c:pt>
                <c:pt idx="305">
                  <c:v>4.4999868128890105E-2</c:v>
                </c:pt>
                <c:pt idx="306">
                  <c:v>4.6494324975808805E-2</c:v>
                </c:pt>
                <c:pt idx="307">
                  <c:v>4.8013218846883199E-2</c:v>
                </c:pt>
                <c:pt idx="308">
                  <c:v>4.9555728835925475E-2</c:v>
                </c:pt>
                <c:pt idx="309">
                  <c:v>5.1120969690800218E-2</c:v>
                </c:pt>
                <c:pt idx="310">
                  <c:v>5.2707991633105182E-2</c:v>
                </c:pt>
                <c:pt idx="311">
                  <c:v>5.4315780343959792E-2</c:v>
                </c:pt>
                <c:pt idx="312">
                  <c:v>5.59432571211914E-2</c:v>
                </c:pt>
                <c:pt idx="313">
                  <c:v>5.7589279212736912E-2</c:v>
                </c:pt>
                <c:pt idx="314">
                  <c:v>5.9252640330569123E-2</c:v>
                </c:pt>
                <c:pt idx="315">
                  <c:v>6.0932071348914173E-2</c:v>
                </c:pt>
                <c:pt idx="316">
                  <c:v>6.2626241189952567E-2</c:v>
                </c:pt>
                <c:pt idx="317">
                  <c:v>6.4333757899591712E-2</c:v>
                </c:pt>
                <c:pt idx="318">
                  <c:v>6.605316991526311E-2</c:v>
                </c:pt>
                <c:pt idx="319">
                  <c:v>6.7782967527039009E-2</c:v>
                </c:pt>
                <c:pt idx="320">
                  <c:v>6.9521584532679273E-2</c:v>
                </c:pt>
                <c:pt idx="321">
                  <c:v>7.1267400086514152E-2</c:v>
                </c:pt>
                <c:pt idx="322">
                  <c:v>7.3018740741345914E-2</c:v>
                </c:pt>
                <c:pt idx="323">
                  <c:v>7.477388268181373E-2</c:v>
                </c:pt>
                <c:pt idx="324">
                  <c:v>7.6531054146914232E-2</c:v>
                </c:pt>
                <c:pt idx="325">
                  <c:v>7.8288438038611907E-2</c:v>
                </c:pt>
                <c:pt idx="326">
                  <c:v>8.0044174712705807E-2</c:v>
                </c:pt>
                <c:pt idx="327">
                  <c:v>8.1796364947352956E-2</c:v>
                </c:pt>
                <c:pt idx="328">
                  <c:v>8.3543073083880995E-2</c:v>
                </c:pt>
                <c:pt idx="329">
                  <c:v>8.5282330333762896E-2</c:v>
                </c:pt>
                <c:pt idx="330">
                  <c:v>8.7012138244873E-2</c:v>
                </c:pt>
                <c:pt idx="331">
                  <c:v>8.8730472319405174E-2</c:v>
                </c:pt>
                <c:pt idx="332">
                  <c:v>9.0435285775109911E-2</c:v>
                </c:pt>
                <c:pt idx="333">
                  <c:v>9.2124513440805314E-2</c:v>
                </c:pt>
                <c:pt idx="334">
                  <c:v>9.3796075776437587E-2</c:v>
                </c:pt>
                <c:pt idx="335">
                  <c:v>9.5447883007316256E-2</c:v>
                </c:pt>
                <c:pt idx="336">
                  <c:v>9.7077839361529306E-2</c:v>
                </c:pt>
                <c:pt idx="337">
                  <c:v>9.8683847398959759E-2</c:v>
                </c:pt>
                <c:pt idx="338">
                  <c:v>0.10026381241977826</c:v>
                </c:pt>
                <c:pt idx="339">
                  <c:v>0.10181564693978259</c:v>
                </c:pt>
                <c:pt idx="340">
                  <c:v>0.10333727521949457</c:v>
                </c:pt>
                <c:pt idx="341">
                  <c:v>0.10482663783351398</c:v>
                </c:pt>
                <c:pt idx="342">
                  <c:v>0.10628169626626689</c:v>
                </c:pt>
                <c:pt idx="343">
                  <c:v>0.10770043751997767</c:v>
                </c:pt>
                <c:pt idx="344">
                  <c:v>0.10908087872044119</c:v>
                </c:pt>
                <c:pt idx="345">
                  <c:v>0.11042107170597498</c:v>
                </c:pt>
                <c:pt idx="346">
                  <c:v>0.11171910758479556</c:v>
                </c:pt>
                <c:pt idx="347">
                  <c:v>0.11297312124598527</c:v>
                </c:pt>
                <c:pt idx="348">
                  <c:v>0.11418129580920271</c:v>
                </c:pt>
                <c:pt idx="349">
                  <c:v>0.11534186699833635</c:v>
                </c:pt>
                <c:pt idx="350">
                  <c:v>0.11645312742441224</c:v>
                </c:pt>
                <c:pt idx="351">
                  <c:v>0.11751343076324108</c:v>
                </c:pt>
                <c:pt idx="352">
                  <c:v>0.11852119581352512</c:v>
                </c:pt>
                <c:pt idx="353">
                  <c:v>0.11947491042144744</c:v>
                </c:pt>
                <c:pt idx="354">
                  <c:v>0.12037313525812537</c:v>
                </c:pt>
                <c:pt idx="355">
                  <c:v>0.12121450743673273</c:v>
                </c:pt>
                <c:pt idx="356">
                  <c:v>0.1219977439565768</c:v>
                </c:pt>
                <c:pt idx="357">
                  <c:v>0.12272164496195397</c:v>
                </c:pt>
                <c:pt idx="358">
                  <c:v>0.12338509680420305</c:v>
                </c:pt>
                <c:pt idx="359">
                  <c:v>0.12398707489602009</c:v>
                </c:pt>
                <c:pt idx="360">
                  <c:v>0.12452664634779774</c:v>
                </c:pt>
                <c:pt idx="361">
                  <c:v>0.12500297237649469</c:v>
                </c:pt>
                <c:pt idx="362">
                  <c:v>0.12541531047832924</c:v>
                </c:pt>
                <c:pt idx="363">
                  <c:v>0.12576301635742052</c:v>
                </c:pt>
                <c:pt idx="364">
                  <c:v>0.12604554560336431</c:v>
                </c:pt>
                <c:pt idx="365">
                  <c:v>0.12626245511163059</c:v>
                </c:pt>
                <c:pt idx="366">
                  <c:v>0.12641340424159442</c:v>
                </c:pt>
                <c:pt idx="367">
                  <c:v>0.12649815570796488</c:v>
                </c:pt>
                <c:pt idx="368">
                  <c:v>0.12651657620234605</c:v>
                </c:pt>
                <c:pt idx="369">
                  <c:v>0.12646863674265127</c:v>
                </c:pt>
                <c:pt idx="370">
                  <c:v>0.12635441274908851</c:v>
                </c:pt>
                <c:pt idx="371">
                  <c:v>0.12617408384643852</c:v>
                </c:pt>
                <c:pt idx="372">
                  <c:v>0.12592793339335065</c:v>
                </c:pt>
                <c:pt idx="373">
                  <c:v>0.12561634774038322</c:v>
                </c:pt>
                <c:pt idx="374">
                  <c:v>0.125239815219508</c:v>
                </c:pt>
                <c:pt idx="375">
                  <c:v>0.12479892486877808</c:v>
                </c:pt>
                <c:pt idx="376">
                  <c:v>0.12429436489682094</c:v>
                </c:pt>
                <c:pt idx="377">
                  <c:v>0.12372692089276047</c:v>
                </c:pt>
                <c:pt idx="378">
                  <c:v>0.12309747378808393</c:v>
                </c:pt>
                <c:pt idx="379">
                  <c:v>0.12240699757785614</c:v>
                </c:pt>
                <c:pt idx="380">
                  <c:v>0.12165655680953101</c:v>
                </c:pt>
                <c:pt idx="381">
                  <c:v>0.12084730384842196</c:v>
                </c:pt>
                <c:pt idx="382">
                  <c:v>0.11998047592966211</c:v>
                </c:pt>
                <c:pt idx="383">
                  <c:v>0.11905739200720822</c:v>
                </c:pt>
                <c:pt idx="384">
                  <c:v>0.11807944941111725</c:v>
                </c:pt>
                <c:pt idx="385">
                  <c:v>0.11704812032494868</c:v>
                </c:pt>
                <c:pt idx="386">
                  <c:v>0.11596494809571464</c:v>
                </c:pt>
                <c:pt idx="387">
                  <c:v>0.11483154338931301</c:v>
                </c:pt>
                <c:pt idx="388">
                  <c:v>0.1136495802048349</c:v>
                </c:pt>
                <c:pt idx="389">
                  <c:v>0.11242079176153133</c:v>
                </c:pt>
                <c:pt idx="390">
                  <c:v>0.11114696627255967</c:v>
                </c:pt>
                <c:pt idx="391">
                  <c:v>0.10982994261990082</c:v>
                </c:pt>
                <c:pt idx="392">
                  <c:v>0.10847160594504765</c:v>
                </c:pt>
                <c:pt idx="393">
                  <c:v>0.10707388317021131</c:v>
                </c:pt>
                <c:pt idx="394">
                  <c:v>0.10563873846487382</c:v>
                </c:pt>
                <c:pt idx="395">
                  <c:v>0.10416816867253578</c:v>
                </c:pt>
                <c:pt idx="396">
                  <c:v>0.10266419871246621</c:v>
                </c:pt>
                <c:pt idx="397">
                  <c:v>0.10112887697115659</c:v>
                </c:pt>
                <c:pt idx="398">
                  <c:v>9.9564270698019569E-2</c:v>
                </c:pt>
                <c:pt idx="399">
                  <c:v>9.7972461419650284E-2</c:v>
                </c:pt>
                <c:pt idx="400">
                  <c:v>9.6355540386690433E-2</c:v>
                </c:pt>
                <c:pt idx="401">
                  <c:v>9.4715604067003037E-2</c:v>
                </c:pt>
                <c:pt idx="402">
                  <c:v>9.3054749698481723E-2</c:v>
                </c:pt>
                <c:pt idx="403">
                  <c:v>9.1375070914384779E-2</c:v>
                </c:pt>
                <c:pt idx="404">
                  <c:v>8.9678653453604235E-2</c:v>
                </c:pt>
                <c:pt idx="405">
                  <c:v>8.7967570967757522E-2</c:v>
                </c:pt>
                <c:pt idx="406">
                  <c:v>8.6243880936424239E-2</c:v>
                </c:pt>
                <c:pt idx="407">
                  <c:v>8.4509620701252203E-2</c:v>
                </c:pt>
                <c:pt idx="408">
                  <c:v>8.276680362902071E-2</c:v>
                </c:pt>
                <c:pt idx="409">
                  <c:v>8.1017415413087324E-2</c:v>
                </c:pt>
                <c:pt idx="410">
                  <c:v>7.9263410521953098E-2</c:v>
                </c:pt>
                <c:pt idx="411">
                  <c:v>7.7506708802970267E-2</c:v>
                </c:pt>
                <c:pt idx="412">
                  <c:v>7.5749192248484018E-2</c:v>
                </c:pt>
                <c:pt idx="413">
                  <c:v>7.3992701930955973E-2</c:v>
                </c:pt>
                <c:pt idx="414">
                  <c:v>7.2239035112859354E-2</c:v>
                </c:pt>
                <c:pt idx="415">
                  <c:v>7.0489942536371308E-2</c:v>
                </c:pt>
                <c:pt idx="416">
                  <c:v>6.8747125897122424E-2</c:v>
                </c:pt>
                <c:pt idx="417">
                  <c:v>6.70122355054939E-2</c:v>
                </c:pt>
                <c:pt idx="418">
                  <c:v>6.5286868138190388E-2</c:v>
                </c:pt>
                <c:pt idx="419">
                  <c:v>6.3572565082060412E-2</c:v>
                </c:pt>
                <c:pt idx="420">
                  <c:v>6.1870810371389404E-2</c:v>
                </c:pt>
                <c:pt idx="421">
                  <c:v>6.0183029219158711E-2</c:v>
                </c:pt>
                <c:pt idx="422">
                  <c:v>5.8510586642049209E-2</c:v>
                </c:pt>
                <c:pt idx="423">
                  <c:v>5.6854786278271119E-2</c:v>
                </c:pt>
                <c:pt idx="424">
                  <c:v>5.5216869396629772E-2</c:v>
                </c:pt>
                <c:pt idx="425">
                  <c:v>5.3598014094587976E-2</c:v>
                </c:pt>
                <c:pt idx="426">
                  <c:v>5.19993346824646E-2</c:v>
                </c:pt>
                <c:pt idx="427">
                  <c:v>5.0421881250317942E-2</c:v>
                </c:pt>
                <c:pt idx="428">
                  <c:v>4.8866639413501473E-2</c:v>
                </c:pt>
                <c:pt idx="429">
                  <c:v>4.7334530232352449E-2</c:v>
                </c:pt>
                <c:pt idx="430">
                  <c:v>4.5826410300981169E-2</c:v>
                </c:pt>
                <c:pt idx="431">
                  <c:v>4.4343071999671468E-2</c:v>
                </c:pt>
                <c:pt idx="432">
                  <c:v>4.2885243904982245E-2</c:v>
                </c:pt>
                <c:pt idx="433">
                  <c:v>4.1453591351257903E-2</c:v>
                </c:pt>
                <c:pt idx="434">
                  <c:v>4.0048717136909828E-2</c:v>
                </c:pt>
                <c:pt idx="435">
                  <c:v>3.8671162368526135E-2</c:v>
                </c:pt>
                <c:pt idx="436">
                  <c:v>3.7321407435598336E-2</c:v>
                </c:pt>
                <c:pt idx="437">
                  <c:v>3.5999873108425562E-2</c:v>
                </c:pt>
                <c:pt idx="438">
                  <c:v>3.4706921751566637E-2</c:v>
                </c:pt>
                <c:pt idx="439">
                  <c:v>3.3442858645057381E-2</c:v>
                </c:pt>
                <c:pt idx="440">
                  <c:v>3.2207933405496207E-2</c:v>
                </c:pt>
                <c:pt idx="441">
                  <c:v>3.1002341499022305E-2</c:v>
                </c:pt>
                <c:pt idx="442">
                  <c:v>2.982622583816812E-2</c:v>
                </c:pt>
                <c:pt idx="443">
                  <c:v>2.8679678454559623E-2</c:v>
                </c:pt>
                <c:pt idx="444">
                  <c:v>2.7562742239463259E-2</c:v>
                </c:pt>
                <c:pt idx="445">
                  <c:v>2.6475412744235229E-2</c:v>
                </c:pt>
                <c:pt idx="446">
                  <c:v>2.5417640032816876E-2</c:v>
                </c:pt>
                <c:pt idx="447">
                  <c:v>2.4389330578536365E-2</c:v>
                </c:pt>
                <c:pt idx="448">
                  <c:v>2.339034919762057E-2</c:v>
                </c:pt>
                <c:pt idx="449">
                  <c:v>2.2420521011990872E-2</c:v>
                </c:pt>
                <c:pt idx="450">
                  <c:v>2.147963343410967E-2</c:v>
                </c:pt>
                <c:pt idx="451">
                  <c:v>2.0567438166859169E-2</c:v>
                </c:pt>
                <c:pt idx="452">
                  <c:v>1.9683653211669729E-2</c:v>
                </c:pt>
                <c:pt idx="453">
                  <c:v>1.8827964878367805E-2</c:v>
                </c:pt>
                <c:pt idx="454">
                  <c:v>1.8000029790482982E-2</c:v>
                </c:pt>
                <c:pt idx="455">
                  <c:v>1.7199476880037645E-2</c:v>
                </c:pt>
                <c:pt idx="456">
                  <c:v>1.6425909366138223E-2</c:v>
                </c:pt>
                <c:pt idx="457">
                  <c:v>1.5678906711993925E-2</c:v>
                </c:pt>
                <c:pt idx="458">
                  <c:v>1.4958026555303655E-2</c:v>
                </c:pt>
                <c:pt idx="459">
                  <c:v>1.4262806607273469E-2</c:v>
                </c:pt>
                <c:pt idx="460">
                  <c:v>1.3592766515853689E-2</c:v>
                </c:pt>
                <c:pt idx="461">
                  <c:v>1.2947409689115022E-2</c:v>
                </c:pt>
                <c:pt idx="462">
                  <c:v>1.2326225075013851E-2</c:v>
                </c:pt>
                <c:pt idx="463">
                  <c:v>1.1728688894128845E-2</c:v>
                </c:pt>
                <c:pt idx="464">
                  <c:v>1.1154266322280813E-2</c:v>
                </c:pt>
                <c:pt idx="465">
                  <c:v>1.060241312027425E-2</c:v>
                </c:pt>
                <c:pt idx="466">
                  <c:v>1.0072577208321793E-2</c:v>
                </c:pt>
                <c:pt idx="467">
                  <c:v>9.5642001830296471E-3</c:v>
                </c:pt>
                <c:pt idx="468">
                  <c:v>9.0767187751317497E-3</c:v>
                </c:pt>
                <c:pt idx="469">
                  <c:v>8.6095662464627104E-3</c:v>
                </c:pt>
                <c:pt idx="470">
                  <c:v>8.1621737249528009E-3</c:v>
                </c:pt>
                <c:pt idx="471">
                  <c:v>7.7339714767113241E-3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639424"/>
        <c:axId val="307640960"/>
      </c:scatterChart>
      <c:valAx>
        <c:axId val="307639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7640960"/>
        <c:crosses val="autoZero"/>
        <c:crossBetween val="midCat"/>
      </c:valAx>
      <c:valAx>
        <c:axId val="307640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763942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Number of butterflies with wing size 'x' mm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</c:spPr>
          <c:invertIfNegative val="0"/>
          <c:cat>
            <c:numRef>
              <c:f>'Single Gaussian'!$G$8:$AL$8</c:f>
              <c:numCache>
                <c:formatCode>General</c:formatCode>
                <c:ptCount val="3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</c:numCache>
            </c:numRef>
          </c:cat>
          <c:val>
            <c:numRef>
              <c:f>'Single Gaussian'!$G$5:$AL$5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8</c:v>
                </c:pt>
                <c:pt idx="9">
                  <c:v>13</c:v>
                </c:pt>
                <c:pt idx="10">
                  <c:v>21</c:v>
                </c:pt>
                <c:pt idx="11">
                  <c:v>29</c:v>
                </c:pt>
                <c:pt idx="12">
                  <c:v>39</c:v>
                </c:pt>
                <c:pt idx="13">
                  <c:v>47</c:v>
                </c:pt>
                <c:pt idx="14">
                  <c:v>53</c:v>
                </c:pt>
                <c:pt idx="15">
                  <c:v>55</c:v>
                </c:pt>
                <c:pt idx="16">
                  <c:v>53</c:v>
                </c:pt>
                <c:pt idx="17">
                  <c:v>47</c:v>
                </c:pt>
                <c:pt idx="18">
                  <c:v>39</c:v>
                </c:pt>
                <c:pt idx="19">
                  <c:v>29</c:v>
                </c:pt>
                <c:pt idx="20">
                  <c:v>21</c:v>
                </c:pt>
                <c:pt idx="21">
                  <c:v>13</c:v>
                </c:pt>
                <c:pt idx="22">
                  <c:v>8</c:v>
                </c:pt>
                <c:pt idx="23">
                  <c:v>4</c:v>
                </c:pt>
                <c:pt idx="24">
                  <c:v>2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07585792"/>
        <c:axId val="307587712"/>
      </c:barChart>
      <c:catAx>
        <c:axId val="307585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1400" b="1" i="0" baseline="0">
                    <a:effectLst/>
                  </a:rPr>
                  <a:t>Wing size in mm</a:t>
                </a:r>
                <a:endParaRPr lang="en-GB" sz="800">
                  <a:effectLst/>
                </a:endParaRP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1100"/>
            </a:pPr>
            <a:endParaRPr lang="en-US"/>
          </a:p>
        </c:txPr>
        <c:crossAx val="307587712"/>
        <c:crosses val="autoZero"/>
        <c:auto val="1"/>
        <c:lblAlgn val="ctr"/>
        <c:lblOffset val="100"/>
        <c:noMultiLvlLbl val="0"/>
      </c:catAx>
      <c:valAx>
        <c:axId val="307587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Number of Butterflys observed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07585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butterflies with wing size 'x' mm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</c:spPr>
          <c:invertIfNegative val="0"/>
          <c:cat>
            <c:numRef>
              <c:f>Problem!$J$6:$AL$6</c:f>
              <c:numCache>
                <c:formatCode>General</c:formatCode>
                <c:ptCount val="29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</c:numCache>
            </c:numRef>
          </c:cat>
          <c:val>
            <c:numRef>
              <c:f>Problem!$J$4:$AL$4</c:f>
              <c:numCache>
                <c:formatCode>General</c:formatCode>
                <c:ptCount val="29"/>
                <c:pt idx="0">
                  <c:v>3</c:v>
                </c:pt>
                <c:pt idx="1">
                  <c:v>9</c:v>
                </c:pt>
                <c:pt idx="2">
                  <c:v>7</c:v>
                </c:pt>
                <c:pt idx="3">
                  <c:v>20</c:v>
                </c:pt>
                <c:pt idx="4">
                  <c:v>27</c:v>
                </c:pt>
                <c:pt idx="5">
                  <c:v>34</c:v>
                </c:pt>
                <c:pt idx="6">
                  <c:v>45</c:v>
                </c:pt>
                <c:pt idx="7">
                  <c:v>52</c:v>
                </c:pt>
                <c:pt idx="8">
                  <c:v>47</c:v>
                </c:pt>
                <c:pt idx="9">
                  <c:v>54</c:v>
                </c:pt>
                <c:pt idx="10">
                  <c:v>39</c:v>
                </c:pt>
                <c:pt idx="11">
                  <c:v>49</c:v>
                </c:pt>
                <c:pt idx="12">
                  <c:v>29</c:v>
                </c:pt>
                <c:pt idx="13">
                  <c:v>27</c:v>
                </c:pt>
                <c:pt idx="14">
                  <c:v>25</c:v>
                </c:pt>
                <c:pt idx="15">
                  <c:v>22</c:v>
                </c:pt>
                <c:pt idx="16">
                  <c:v>19</c:v>
                </c:pt>
                <c:pt idx="17">
                  <c:v>39</c:v>
                </c:pt>
                <c:pt idx="18">
                  <c:v>49</c:v>
                </c:pt>
                <c:pt idx="19">
                  <c:v>63</c:v>
                </c:pt>
                <c:pt idx="20">
                  <c:v>62</c:v>
                </c:pt>
                <c:pt idx="21">
                  <c:v>74</c:v>
                </c:pt>
                <c:pt idx="22">
                  <c:v>61</c:v>
                </c:pt>
                <c:pt idx="23">
                  <c:v>54</c:v>
                </c:pt>
                <c:pt idx="24">
                  <c:v>34</c:v>
                </c:pt>
                <c:pt idx="25">
                  <c:v>24</c:v>
                </c:pt>
                <c:pt idx="26">
                  <c:v>6</c:v>
                </c:pt>
                <c:pt idx="27">
                  <c:v>3</c:v>
                </c:pt>
                <c:pt idx="28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46"/>
        <c:axId val="312885248"/>
        <c:axId val="312887168"/>
      </c:barChart>
      <c:catAx>
        <c:axId val="312885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Wing size in mm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1050"/>
            </a:pPr>
            <a:endParaRPr lang="en-US"/>
          </a:p>
        </c:txPr>
        <c:crossAx val="312887168"/>
        <c:crosses val="autoZero"/>
        <c:auto val="1"/>
        <c:lblAlgn val="ctr"/>
        <c:lblOffset val="100"/>
        <c:noMultiLvlLbl val="0"/>
      </c:catAx>
      <c:valAx>
        <c:axId val="3128871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Number of butterflys observed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2885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Problem!$I$4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cat>
            <c:numRef>
              <c:f>Problem!$J$5:$AO$5</c:f>
              <c:numCache>
                <c:formatCode>General</c:formatCode>
                <c:ptCount val="32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  <c:pt idx="30">
                  <c:v>160</c:v>
                </c:pt>
                <c:pt idx="31">
                  <c:v>165</c:v>
                </c:pt>
              </c:numCache>
            </c:numRef>
          </c:cat>
          <c:val>
            <c:numRef>
              <c:f>Problem!$J$4:$AO$4</c:f>
              <c:numCache>
                <c:formatCode>General</c:formatCode>
                <c:ptCount val="32"/>
                <c:pt idx="0">
                  <c:v>3</c:v>
                </c:pt>
                <c:pt idx="1">
                  <c:v>9</c:v>
                </c:pt>
                <c:pt idx="2">
                  <c:v>7</c:v>
                </c:pt>
                <c:pt idx="3">
                  <c:v>20</c:v>
                </c:pt>
                <c:pt idx="4">
                  <c:v>27</c:v>
                </c:pt>
                <c:pt idx="5">
                  <c:v>34</c:v>
                </c:pt>
                <c:pt idx="6">
                  <c:v>45</c:v>
                </c:pt>
                <c:pt idx="7">
                  <c:v>52</c:v>
                </c:pt>
                <c:pt idx="8">
                  <c:v>47</c:v>
                </c:pt>
                <c:pt idx="9">
                  <c:v>54</c:v>
                </c:pt>
                <c:pt idx="10">
                  <c:v>39</c:v>
                </c:pt>
                <c:pt idx="11">
                  <c:v>49</c:v>
                </c:pt>
                <c:pt idx="12">
                  <c:v>29</c:v>
                </c:pt>
                <c:pt idx="13">
                  <c:v>27</c:v>
                </c:pt>
                <c:pt idx="14">
                  <c:v>25</c:v>
                </c:pt>
                <c:pt idx="15">
                  <c:v>22</c:v>
                </c:pt>
                <c:pt idx="16">
                  <c:v>19</c:v>
                </c:pt>
                <c:pt idx="17">
                  <c:v>39</c:v>
                </c:pt>
                <c:pt idx="18">
                  <c:v>49</c:v>
                </c:pt>
                <c:pt idx="19">
                  <c:v>63</c:v>
                </c:pt>
                <c:pt idx="20">
                  <c:v>62</c:v>
                </c:pt>
                <c:pt idx="21">
                  <c:v>74</c:v>
                </c:pt>
                <c:pt idx="22">
                  <c:v>61</c:v>
                </c:pt>
                <c:pt idx="23">
                  <c:v>54</c:v>
                </c:pt>
                <c:pt idx="24">
                  <c:v>34</c:v>
                </c:pt>
                <c:pt idx="25">
                  <c:v>24</c:v>
                </c:pt>
                <c:pt idx="26">
                  <c:v>6</c:v>
                </c:pt>
                <c:pt idx="27">
                  <c:v>3</c:v>
                </c:pt>
                <c:pt idx="28">
                  <c:v>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899456"/>
        <c:axId val="312900992"/>
      </c:lineChart>
      <c:catAx>
        <c:axId val="312899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2900992"/>
        <c:crosses val="autoZero"/>
        <c:auto val="1"/>
        <c:lblAlgn val="ctr"/>
        <c:lblOffset val="100"/>
        <c:noMultiLvlLbl val="0"/>
      </c:catAx>
      <c:valAx>
        <c:axId val="312900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899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Number of butterflies with wing size 'x' mm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</c:spPr>
          <c:invertIfNegative val="0"/>
          <c:cat>
            <c:numRef>
              <c:f>Problem!$J$6:$AL$6</c:f>
              <c:numCache>
                <c:formatCode>General</c:formatCode>
                <c:ptCount val="29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</c:numCache>
            </c:numRef>
          </c:cat>
          <c:val>
            <c:numRef>
              <c:f>Problem!$J$4:$AL$4</c:f>
              <c:numCache>
                <c:formatCode>General</c:formatCode>
                <c:ptCount val="29"/>
                <c:pt idx="0">
                  <c:v>3</c:v>
                </c:pt>
                <c:pt idx="1">
                  <c:v>9</c:v>
                </c:pt>
                <c:pt idx="2">
                  <c:v>7</c:v>
                </c:pt>
                <c:pt idx="3">
                  <c:v>20</c:v>
                </c:pt>
                <c:pt idx="4">
                  <c:v>27</c:v>
                </c:pt>
                <c:pt idx="5">
                  <c:v>34</c:v>
                </c:pt>
                <c:pt idx="6">
                  <c:v>45</c:v>
                </c:pt>
                <c:pt idx="7">
                  <c:v>52</c:v>
                </c:pt>
                <c:pt idx="8">
                  <c:v>47</c:v>
                </c:pt>
                <c:pt idx="9">
                  <c:v>54</c:v>
                </c:pt>
                <c:pt idx="10">
                  <c:v>39</c:v>
                </c:pt>
                <c:pt idx="11">
                  <c:v>49</c:v>
                </c:pt>
                <c:pt idx="12">
                  <c:v>29</c:v>
                </c:pt>
                <c:pt idx="13">
                  <c:v>27</c:v>
                </c:pt>
                <c:pt idx="14">
                  <c:v>25</c:v>
                </c:pt>
                <c:pt idx="15">
                  <c:v>22</c:v>
                </c:pt>
                <c:pt idx="16">
                  <c:v>19</c:v>
                </c:pt>
                <c:pt idx="17">
                  <c:v>39</c:v>
                </c:pt>
                <c:pt idx="18">
                  <c:v>49</c:v>
                </c:pt>
                <c:pt idx="19">
                  <c:v>63</c:v>
                </c:pt>
                <c:pt idx="20">
                  <c:v>62</c:v>
                </c:pt>
                <c:pt idx="21">
                  <c:v>74</c:v>
                </c:pt>
                <c:pt idx="22">
                  <c:v>61</c:v>
                </c:pt>
                <c:pt idx="23">
                  <c:v>54</c:v>
                </c:pt>
                <c:pt idx="24">
                  <c:v>34</c:v>
                </c:pt>
                <c:pt idx="25">
                  <c:v>24</c:v>
                </c:pt>
                <c:pt idx="26">
                  <c:v>6</c:v>
                </c:pt>
                <c:pt idx="27">
                  <c:v>3</c:v>
                </c:pt>
                <c:pt idx="28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46"/>
        <c:axId val="312609408"/>
        <c:axId val="312611584"/>
      </c:barChart>
      <c:catAx>
        <c:axId val="312609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Wing size in mm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1050"/>
            </a:pPr>
            <a:endParaRPr lang="en-US"/>
          </a:p>
        </c:txPr>
        <c:crossAx val="312611584"/>
        <c:crosses val="autoZero"/>
        <c:auto val="1"/>
        <c:lblAlgn val="ctr"/>
        <c:lblOffset val="100"/>
        <c:noMultiLvlLbl val="0"/>
      </c:catAx>
      <c:valAx>
        <c:axId val="312611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Number of butterflys observed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2609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Number of butterflies with wing size 'x' mm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</c:spPr>
          <c:invertIfNegative val="0"/>
          <c:cat>
            <c:numRef>
              <c:f>Problem!$J$6:$AL$6</c:f>
              <c:numCache>
                <c:formatCode>General</c:formatCode>
                <c:ptCount val="29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</c:numCache>
            </c:numRef>
          </c:cat>
          <c:val>
            <c:numRef>
              <c:f>Problem!$J$7:$AL$7</c:f>
              <c:numCache>
                <c:formatCode>General</c:formatCode>
                <c:ptCount val="29"/>
                <c:pt idx="0">
                  <c:v>3</c:v>
                </c:pt>
                <c:pt idx="1">
                  <c:v>9</c:v>
                </c:pt>
                <c:pt idx="2">
                  <c:v>7</c:v>
                </c:pt>
                <c:pt idx="3">
                  <c:v>20</c:v>
                </c:pt>
                <c:pt idx="4">
                  <c:v>27</c:v>
                </c:pt>
                <c:pt idx="5">
                  <c:v>34</c:v>
                </c:pt>
                <c:pt idx="6">
                  <c:v>45</c:v>
                </c:pt>
                <c:pt idx="7">
                  <c:v>52</c:v>
                </c:pt>
                <c:pt idx="8">
                  <c:v>47</c:v>
                </c:pt>
                <c:pt idx="9">
                  <c:v>54</c:v>
                </c:pt>
                <c:pt idx="10">
                  <c:v>39</c:v>
                </c:pt>
                <c:pt idx="11">
                  <c:v>49</c:v>
                </c:pt>
                <c:pt idx="12">
                  <c:v>29</c:v>
                </c:pt>
                <c:pt idx="13">
                  <c:v>25</c:v>
                </c:pt>
                <c:pt idx="14">
                  <c:v>22</c:v>
                </c:pt>
                <c:pt idx="15">
                  <c:v>13</c:v>
                </c:pt>
                <c:pt idx="16">
                  <c:v>5</c:v>
                </c:pt>
                <c:pt idx="17">
                  <c:v>4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1"/>
          <c:order val="1"/>
          <c:invertIfNegative val="0"/>
          <c:val>
            <c:numRef>
              <c:f>Problem!$J$8:$AO$8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9</c:v>
                </c:pt>
                <c:pt idx="16">
                  <c:v>14</c:v>
                </c:pt>
                <c:pt idx="17">
                  <c:v>35</c:v>
                </c:pt>
                <c:pt idx="18">
                  <c:v>46</c:v>
                </c:pt>
                <c:pt idx="19">
                  <c:v>63</c:v>
                </c:pt>
                <c:pt idx="20">
                  <c:v>61</c:v>
                </c:pt>
                <c:pt idx="21">
                  <c:v>74</c:v>
                </c:pt>
                <c:pt idx="22">
                  <c:v>61</c:v>
                </c:pt>
                <c:pt idx="23">
                  <c:v>54</c:v>
                </c:pt>
                <c:pt idx="24">
                  <c:v>34</c:v>
                </c:pt>
                <c:pt idx="25">
                  <c:v>24</c:v>
                </c:pt>
                <c:pt idx="26">
                  <c:v>6</c:v>
                </c:pt>
                <c:pt idx="27">
                  <c:v>3</c:v>
                </c:pt>
                <c:pt idx="28">
                  <c:v>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46"/>
        <c:axId val="312657408"/>
        <c:axId val="312659328"/>
      </c:barChart>
      <c:catAx>
        <c:axId val="312657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Wing size in mm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1050"/>
            </a:pPr>
            <a:endParaRPr lang="en-US"/>
          </a:p>
        </c:txPr>
        <c:crossAx val="312659328"/>
        <c:crosses val="autoZero"/>
        <c:auto val="1"/>
        <c:lblAlgn val="ctr"/>
        <c:lblOffset val="100"/>
        <c:noMultiLvlLbl val="0"/>
      </c:catAx>
      <c:valAx>
        <c:axId val="312659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Number of butterflys observed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2657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20" fmlaLink="$H$6" max="150" min="1" page="10"/>
</file>

<file path=xl/ctrlProps/ctrlProp2.xml><?xml version="1.0" encoding="utf-8"?>
<formControlPr xmlns="http://schemas.microsoft.com/office/spreadsheetml/2009/9/main" objectType="Scroll" dx="20" fmlaLink="$I$6" max="50" min="1" page="5"/>
</file>

<file path=xl/ctrlProps/ctrlProp3.xml><?xml version="1.0" encoding="utf-8"?>
<formControlPr xmlns="http://schemas.microsoft.com/office/spreadsheetml/2009/9/main" objectType="Scroll" dx="20" fmlaLink="$J$6" max="150" min="1" page="10"/>
</file>

<file path=xl/ctrlProps/ctrlProp4.xml><?xml version="1.0" encoding="utf-8"?>
<formControlPr xmlns="http://schemas.microsoft.com/office/spreadsheetml/2009/9/main" objectType="Scroll" dx="20" fmlaLink="$K$6" max="50" min="1" page="10"/>
</file>

<file path=xl/ctrlProps/ctrlProp5.xml><?xml version="1.0" encoding="utf-8"?>
<formControlPr xmlns="http://schemas.microsoft.com/office/spreadsheetml/2009/9/main" objectType="Scroll" dx="20" fmlaLink="$J$6" max="150" min="1" page="10"/>
</file>

<file path=xl/ctrlProps/ctrlProp6.xml><?xml version="1.0" encoding="utf-8"?>
<formControlPr xmlns="http://schemas.microsoft.com/office/spreadsheetml/2009/9/main" objectType="Scroll" dx="20" fmlaLink="$K$6" max="50" min="1" page="5"/>
</file>

<file path=xl/ctrlProps/ctrlProp7.xml><?xml version="1.0" encoding="utf-8"?>
<formControlPr xmlns="http://schemas.microsoft.com/office/spreadsheetml/2009/9/main" objectType="Scroll" dx="20" fmlaLink="$L$6" max="150" min="1" page="10"/>
</file>

<file path=xl/ctrlProps/ctrlProp8.xml><?xml version="1.0" encoding="utf-8"?>
<formControlPr xmlns="http://schemas.microsoft.com/office/spreadsheetml/2009/9/main" objectType="Scroll" dx="20" fmlaLink="$M$6" max="50" min="1" page="10"/>
</file>

<file path=xl/ctrlProps/ctrlProp9.xml><?xml version="1.0" encoding="utf-8"?>
<formControlPr xmlns="http://schemas.microsoft.com/office/spreadsheetml/2009/9/main" objectType="Scroll" dx="20" fmlaLink="$I$27" max="100" min="1" page="10"/>
</file>

<file path=xl/ctrlProps/ctrlProp10.xml><?xml version="1.0" encoding="utf-8"?>
<formControlPr xmlns="http://schemas.microsoft.com/office/spreadsheetml/2009/9/main" objectType="Scroll" dx="20" fmlaLink="$D$39" max="125" min="1" page="10"/>
</file>

<file path=xl/ctrlProps/ctrlProp11.xml><?xml version="1.0" encoding="utf-8"?>
<formControlPr xmlns="http://schemas.microsoft.com/office/spreadsheetml/2009/9/main" objectType="Scroll" dx="20" fmlaLink="$E$39" max="100" min="1" page="5"/>
</file>

<file path=xl/ctrlProps/ctrlProp12.xml><?xml version="1.0" encoding="utf-8"?>
<formControlPr xmlns="http://schemas.microsoft.com/office/spreadsheetml/2009/9/main" objectType="Scroll" dx="20" fmlaLink="$F$39" max="125" min="1" page="10"/>
</file>

<file path=xl/ctrlProps/ctrlProp13.xml><?xml version="1.0" encoding="utf-8"?>
<formControlPr xmlns="http://schemas.microsoft.com/office/spreadsheetml/2009/9/main" objectType="Scroll" dx="20" fmlaLink="$G$39" max="100" min="1" page="10"/>
</file>

<file path=xl/ctrlProps/ctrlProp14.xml><?xml version="1.0" encoding="utf-8"?>
<formControlPr xmlns="http://schemas.microsoft.com/office/spreadsheetml/2009/9/main" objectType="Scroll" dx="20" fmlaLink="$C$39" max="100" min="1" page="10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25401</xdr:colOff>
      <xdr:row>13</xdr:row>
      <xdr:rowOff>170026</xdr:rowOff>
    </xdr:from>
    <xdr:to>
      <xdr:col>24</xdr:col>
      <xdr:colOff>155346</xdr:colOff>
      <xdr:row>28</xdr:row>
      <xdr:rowOff>112754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332659</xdr:colOff>
      <xdr:row>13</xdr:row>
      <xdr:rowOff>170026</xdr:rowOff>
    </xdr:from>
    <xdr:to>
      <xdr:col>38</xdr:col>
      <xdr:colOff>113163</xdr:colOff>
      <xdr:row>28</xdr:row>
      <xdr:rowOff>112754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8</xdr:row>
          <xdr:rowOff>133350</xdr:rowOff>
        </xdr:from>
        <xdr:to>
          <xdr:col>7</xdr:col>
          <xdr:colOff>542925</xdr:colOff>
          <xdr:row>23</xdr:row>
          <xdr:rowOff>133350</xdr:rowOff>
        </xdr:to>
        <xdr:sp macro="" textlink="">
          <xdr:nvSpPr>
            <xdr:cNvPr id="9217" name="Scroll Bar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8</xdr:row>
          <xdr:rowOff>133350</xdr:rowOff>
        </xdr:from>
        <xdr:to>
          <xdr:col>8</xdr:col>
          <xdr:colOff>514350</xdr:colOff>
          <xdr:row>23</xdr:row>
          <xdr:rowOff>133350</xdr:rowOff>
        </xdr:to>
        <xdr:sp macro="" textlink="">
          <xdr:nvSpPr>
            <xdr:cNvPr id="9218" name="Scroll Bar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8</xdr:row>
          <xdr:rowOff>133350</xdr:rowOff>
        </xdr:from>
        <xdr:to>
          <xdr:col>9</xdr:col>
          <xdr:colOff>552450</xdr:colOff>
          <xdr:row>23</xdr:row>
          <xdr:rowOff>133350</xdr:rowOff>
        </xdr:to>
        <xdr:sp macro="" textlink="">
          <xdr:nvSpPr>
            <xdr:cNvPr id="9219" name="Scroll Bar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8</xdr:row>
          <xdr:rowOff>133350</xdr:rowOff>
        </xdr:from>
        <xdr:to>
          <xdr:col>10</xdr:col>
          <xdr:colOff>542925</xdr:colOff>
          <xdr:row>23</xdr:row>
          <xdr:rowOff>133350</xdr:rowOff>
        </xdr:to>
        <xdr:sp macro="" textlink="">
          <xdr:nvSpPr>
            <xdr:cNvPr id="9220" name="Scroll Bar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63</xdr:col>
      <xdr:colOff>47720</xdr:colOff>
      <xdr:row>17</xdr:row>
      <xdr:rowOff>132079</xdr:rowOff>
    </xdr:from>
    <xdr:to>
      <xdr:col>72</xdr:col>
      <xdr:colOff>447508</xdr:colOff>
      <xdr:row>32</xdr:row>
      <xdr:rowOff>76809</xdr:rowOff>
    </xdr:to>
    <xdr:pic>
      <xdr:nvPicPr>
        <xdr:cNvPr id="10" name="Picture 9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776679" y="3628812"/>
          <a:ext cx="5888570" cy="29927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63501</xdr:colOff>
      <xdr:row>13</xdr:row>
      <xdr:rowOff>93826</xdr:rowOff>
    </xdr:from>
    <xdr:to>
      <xdr:col>35</xdr:col>
      <xdr:colOff>193446</xdr:colOff>
      <xdr:row>28</xdr:row>
      <xdr:rowOff>36554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285034</xdr:colOff>
      <xdr:row>13</xdr:row>
      <xdr:rowOff>93826</xdr:rowOff>
    </xdr:from>
    <xdr:to>
      <xdr:col>47</xdr:col>
      <xdr:colOff>141738</xdr:colOff>
      <xdr:row>28</xdr:row>
      <xdr:rowOff>36554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8</xdr:row>
          <xdr:rowOff>133350</xdr:rowOff>
        </xdr:from>
        <xdr:to>
          <xdr:col>9</xdr:col>
          <xdr:colOff>542925</xdr:colOff>
          <xdr:row>22</xdr:row>
          <xdr:rowOff>180975</xdr:rowOff>
        </xdr:to>
        <xdr:sp macro="" textlink="">
          <xdr:nvSpPr>
            <xdr:cNvPr id="13313" name="Scroll Bar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8</xdr:row>
          <xdr:rowOff>133350</xdr:rowOff>
        </xdr:from>
        <xdr:to>
          <xdr:col>10</xdr:col>
          <xdr:colOff>514350</xdr:colOff>
          <xdr:row>22</xdr:row>
          <xdr:rowOff>171450</xdr:rowOff>
        </xdr:to>
        <xdr:sp macro="" textlink="">
          <xdr:nvSpPr>
            <xdr:cNvPr id="13314" name="Scroll Bar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8</xdr:row>
          <xdr:rowOff>133350</xdr:rowOff>
        </xdr:from>
        <xdr:to>
          <xdr:col>11</xdr:col>
          <xdr:colOff>552450</xdr:colOff>
          <xdr:row>22</xdr:row>
          <xdr:rowOff>171450</xdr:rowOff>
        </xdr:to>
        <xdr:sp macro="" textlink="">
          <xdr:nvSpPr>
            <xdr:cNvPr id="13315" name="Scroll Bar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8</xdr:row>
          <xdr:rowOff>133350</xdr:rowOff>
        </xdr:from>
        <xdr:to>
          <xdr:col>12</xdr:col>
          <xdr:colOff>542925</xdr:colOff>
          <xdr:row>22</xdr:row>
          <xdr:rowOff>180975</xdr:rowOff>
        </xdr:to>
        <xdr:sp macro="" textlink="">
          <xdr:nvSpPr>
            <xdr:cNvPr id="13316" name="Scroll Bar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69</xdr:col>
      <xdr:colOff>336664</xdr:colOff>
      <xdr:row>21</xdr:row>
      <xdr:rowOff>78654</xdr:rowOff>
    </xdr:from>
    <xdr:to>
      <xdr:col>79</xdr:col>
      <xdr:colOff>129234</xdr:colOff>
      <xdr:row>36</xdr:row>
      <xdr:rowOff>122428</xdr:rowOff>
    </xdr:to>
    <xdr:pic>
      <xdr:nvPicPr>
        <xdr:cNvPr id="9" name="Picture 8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78689" y="4698279"/>
          <a:ext cx="5888570" cy="30727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8</xdr:row>
          <xdr:rowOff>123825</xdr:rowOff>
        </xdr:from>
        <xdr:to>
          <xdr:col>8</xdr:col>
          <xdr:colOff>209550</xdr:colOff>
          <xdr:row>22</xdr:row>
          <xdr:rowOff>171450</xdr:rowOff>
        </xdr:to>
        <xdr:sp macro="" textlink="">
          <xdr:nvSpPr>
            <xdr:cNvPr id="13317" name="Scroll Bar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13</xdr:col>
      <xdr:colOff>247650</xdr:colOff>
      <xdr:row>13</xdr:row>
      <xdr:rowOff>93826</xdr:rowOff>
    </xdr:from>
    <xdr:to>
      <xdr:col>22</xdr:col>
      <xdr:colOff>291870</xdr:colOff>
      <xdr:row>28</xdr:row>
      <xdr:rowOff>36554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246017</xdr:colOff>
      <xdr:row>18</xdr:row>
      <xdr:rowOff>46537</xdr:rowOff>
    </xdr:from>
    <xdr:to>
      <xdr:col>14</xdr:col>
      <xdr:colOff>550817</xdr:colOff>
      <xdr:row>33</xdr:row>
      <xdr:rowOff>62592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482297</xdr:colOff>
      <xdr:row>1</xdr:row>
      <xdr:rowOff>426900</xdr:rowOff>
    </xdr:from>
    <xdr:to>
      <xdr:col>22</xdr:col>
      <xdr:colOff>413658</xdr:colOff>
      <xdr:row>17</xdr:row>
      <xdr:rowOff>119741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276225</xdr:colOff>
      <xdr:row>1</xdr:row>
      <xdr:rowOff>417195</xdr:rowOff>
    </xdr:from>
    <xdr:to>
      <xdr:col>14</xdr:col>
      <xdr:colOff>581025</xdr:colOff>
      <xdr:row>16</xdr:row>
      <xdr:rowOff>106680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21</xdr:row>
          <xdr:rowOff>133350</xdr:rowOff>
        </xdr:from>
        <xdr:to>
          <xdr:col>3</xdr:col>
          <xdr:colOff>619125</xdr:colOff>
          <xdr:row>36</xdr:row>
          <xdr:rowOff>9525</xdr:rowOff>
        </xdr:to>
        <xdr:sp macro="" textlink="">
          <xdr:nvSpPr>
            <xdr:cNvPr id="17409" name="Scroll Bar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21</xdr:row>
          <xdr:rowOff>114300</xdr:rowOff>
        </xdr:from>
        <xdr:to>
          <xdr:col>4</xdr:col>
          <xdr:colOff>685800</xdr:colOff>
          <xdr:row>35</xdr:row>
          <xdr:rowOff>161925</xdr:rowOff>
        </xdr:to>
        <xdr:sp macro="" textlink="">
          <xdr:nvSpPr>
            <xdr:cNvPr id="17410" name="Scroll Bar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21</xdr:row>
          <xdr:rowOff>114300</xdr:rowOff>
        </xdr:from>
        <xdr:to>
          <xdr:col>5</xdr:col>
          <xdr:colOff>733425</xdr:colOff>
          <xdr:row>35</xdr:row>
          <xdr:rowOff>161925</xdr:rowOff>
        </xdr:to>
        <xdr:sp macro="" textlink="">
          <xdr:nvSpPr>
            <xdr:cNvPr id="17411" name="Scroll Bar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21</xdr:row>
          <xdr:rowOff>114300</xdr:rowOff>
        </xdr:from>
        <xdr:to>
          <xdr:col>6</xdr:col>
          <xdr:colOff>542925</xdr:colOff>
          <xdr:row>35</xdr:row>
          <xdr:rowOff>171450</xdr:rowOff>
        </xdr:to>
        <xdr:sp macro="" textlink="">
          <xdr:nvSpPr>
            <xdr:cNvPr id="17412" name="Scroll Bar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21</xdr:row>
          <xdr:rowOff>95250</xdr:rowOff>
        </xdr:from>
        <xdr:to>
          <xdr:col>2</xdr:col>
          <xdr:colOff>114300</xdr:colOff>
          <xdr:row>35</xdr:row>
          <xdr:rowOff>152400</xdr:rowOff>
        </xdr:to>
        <xdr:sp macro="" textlink="">
          <xdr:nvSpPr>
            <xdr:cNvPr id="17413" name="Scroll Bar 5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32</xdr:col>
      <xdr:colOff>427719</xdr:colOff>
      <xdr:row>13</xdr:row>
      <xdr:rowOff>27780</xdr:rowOff>
    </xdr:from>
    <xdr:to>
      <xdr:col>39</xdr:col>
      <xdr:colOff>391519</xdr:colOff>
      <xdr:row>29</xdr:row>
      <xdr:rowOff>32229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535244" y="2705099"/>
          <a:ext cx="4231000" cy="288655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16327</xdr:colOff>
      <xdr:row>28</xdr:row>
      <xdr:rowOff>29029</xdr:rowOff>
    </xdr:from>
    <xdr:to>
      <xdr:col>16</xdr:col>
      <xdr:colOff>25400</xdr:colOff>
      <xdr:row>47</xdr:row>
      <xdr:rowOff>121557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19050</xdr:colOff>
      <xdr:row>12</xdr:row>
      <xdr:rowOff>25400</xdr:rowOff>
    </xdr:from>
    <xdr:to>
      <xdr:col>16</xdr:col>
      <xdr:colOff>57150</xdr:colOff>
      <xdr:row>26</xdr:row>
      <xdr:rowOff>165100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1143000</xdr:colOff>
          <xdr:row>3</xdr:row>
          <xdr:rowOff>57150</xdr:rowOff>
        </xdr:from>
        <xdr:to>
          <xdr:col>8</xdr:col>
          <xdr:colOff>504825</xdr:colOff>
          <xdr:row>8</xdr:row>
          <xdr:rowOff>19050</xdr:rowOff>
        </xdr:to>
        <xdr:sp macro="" textlink="">
          <xdr:nvSpPr>
            <xdr:cNvPr id="19485" name="Button 29" hidden="1">
              <a:extLst>
                <a:ext uri="{63B3BB69-23CF-44E3-9099-C40C66FF867C}">
                  <a14:compatExt spid="_x0000_s19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model by 1 iteration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57150</xdr:rowOff>
        </xdr:from>
        <xdr:to>
          <xdr:col>10</xdr:col>
          <xdr:colOff>933450</xdr:colOff>
          <xdr:row>8</xdr:row>
          <xdr:rowOff>19050</xdr:rowOff>
        </xdr:to>
        <xdr:sp macro="" textlink="">
          <xdr:nvSpPr>
            <xdr:cNvPr id="19486" name="Button 30" hidden="1">
              <a:extLst>
                <a:ext uri="{63B3BB69-23CF-44E3-9099-C40C66FF867C}">
                  <a14:compatExt spid="_x0000_s19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3</xdr:row>
      <xdr:rowOff>233796</xdr:rowOff>
    </xdr:from>
    <xdr:to>
      <xdr:col>2</xdr:col>
      <xdr:colOff>646481</xdr:colOff>
      <xdr:row>9</xdr:row>
      <xdr:rowOff>82402</xdr:rowOff>
    </xdr:to>
    <xdr:grpSp>
      <xdr:nvGrpSpPr>
        <xdr:cNvPr id="7" name="Group 6"/>
        <xdr:cNvGrpSpPr/>
      </xdr:nvGrpSpPr>
      <xdr:grpSpPr>
        <a:xfrm>
          <a:off x="95250" y="1023010"/>
          <a:ext cx="3680874" cy="1495071"/>
          <a:chOff x="95250" y="1021773"/>
          <a:chExt cx="3677163" cy="1355288"/>
        </a:xfrm>
      </xdr:grpSpPr>
      <xdr:pic>
        <xdr:nvPicPr>
          <xdr:cNvPr id="5" name="Picture 4" descr="Screen Clipping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0" y="1376796"/>
            <a:ext cx="3677163" cy="1000265"/>
          </a:xfrm>
          <a:prstGeom prst="rect">
            <a:avLst/>
          </a:prstGeom>
          <a:ln>
            <a:solidFill>
              <a:schemeClr val="tx2">
                <a:lumMod val="75000"/>
              </a:schemeClr>
            </a:solidFill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  <xdr:sp macro="" textlink="">
        <xdr:nvSpPr>
          <xdr:cNvPr id="6" name="TextBox 5"/>
          <xdr:cNvSpPr txBox="1"/>
        </xdr:nvSpPr>
        <xdr:spPr>
          <a:xfrm>
            <a:off x="103909" y="1021773"/>
            <a:ext cx="3662795" cy="3203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1400" b="1"/>
              <a:t>Gaussian Function</a:t>
            </a:r>
          </a:p>
        </xdr:txBody>
      </xdr:sp>
    </xdr:grpSp>
    <xdr:clientData/>
  </xdr:twoCellAnchor>
  <xdr:twoCellAnchor>
    <xdr:from>
      <xdr:col>2</xdr:col>
      <xdr:colOff>646481</xdr:colOff>
      <xdr:row>7</xdr:row>
      <xdr:rowOff>150061</xdr:rowOff>
    </xdr:from>
    <xdr:to>
      <xdr:col>3</xdr:col>
      <xdr:colOff>251113</xdr:colOff>
      <xdr:row>8</xdr:row>
      <xdr:rowOff>138546</xdr:rowOff>
    </xdr:to>
    <xdr:cxnSp macro="">
      <xdr:nvCxnSpPr>
        <xdr:cNvPr id="9" name="Straight Arrow Connector 8"/>
        <xdr:cNvCxnSpPr>
          <a:stCxn id="5" idx="3"/>
        </xdr:cNvCxnSpPr>
      </xdr:nvCxnSpPr>
      <xdr:spPr>
        <a:xfrm>
          <a:off x="3772413" y="1942493"/>
          <a:ext cx="461882" cy="343508"/>
        </a:xfrm>
        <a:prstGeom prst="straightConnector1">
          <a:avLst/>
        </a:prstGeom>
        <a:ln w="57150">
          <a:solidFill>
            <a:schemeClr val="tx2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646481</xdr:colOff>
      <xdr:row>7</xdr:row>
      <xdr:rowOff>150061</xdr:rowOff>
    </xdr:from>
    <xdr:to>
      <xdr:col>3</xdr:col>
      <xdr:colOff>285750</xdr:colOff>
      <xdr:row>13</xdr:row>
      <xdr:rowOff>0</xdr:rowOff>
    </xdr:to>
    <xdr:cxnSp macro="">
      <xdr:nvCxnSpPr>
        <xdr:cNvPr id="12" name="Straight Arrow Connector 11"/>
        <xdr:cNvCxnSpPr>
          <a:stCxn id="5" idx="3"/>
        </xdr:cNvCxnSpPr>
      </xdr:nvCxnSpPr>
      <xdr:spPr>
        <a:xfrm>
          <a:off x="3772413" y="1942493"/>
          <a:ext cx="496519" cy="1399916"/>
        </a:xfrm>
        <a:prstGeom prst="straightConnector1">
          <a:avLst/>
        </a:prstGeom>
        <a:ln w="57150">
          <a:solidFill>
            <a:schemeClr val="tx2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121227</xdr:colOff>
      <xdr:row>11</xdr:row>
      <xdr:rowOff>0</xdr:rowOff>
    </xdr:from>
    <xdr:to>
      <xdr:col>4</xdr:col>
      <xdr:colOff>476250</xdr:colOff>
      <xdr:row>13</xdr:row>
      <xdr:rowOff>34636</xdr:rowOff>
    </xdr:to>
    <xdr:cxnSp macro="">
      <xdr:nvCxnSpPr>
        <xdr:cNvPr id="15" name="Straight Arrow Connector 14"/>
        <xdr:cNvCxnSpPr/>
      </xdr:nvCxnSpPr>
      <xdr:spPr>
        <a:xfrm>
          <a:off x="4104409" y="2840182"/>
          <a:ext cx="1749136" cy="536863"/>
        </a:xfrm>
        <a:prstGeom prst="straightConnector1">
          <a:avLst/>
        </a:prstGeom>
        <a:ln w="57150">
          <a:solidFill>
            <a:schemeClr val="tx2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701040</xdr:colOff>
      <xdr:row>9</xdr:row>
      <xdr:rowOff>3810</xdr:rowOff>
    </xdr:from>
    <xdr:to>
      <xdr:col>18</xdr:col>
      <xdr:colOff>161580</xdr:colOff>
      <xdr:row>25</xdr:row>
      <xdr:rowOff>175260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156210</xdr:rowOff>
    </xdr:from>
    <xdr:to>
      <xdr:col>25</xdr:col>
      <xdr:colOff>304800</xdr:colOff>
      <xdr:row>22</xdr:row>
      <xdr:rowOff>128210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259080</xdr:colOff>
      <xdr:row>8</xdr:row>
      <xdr:rowOff>181610</xdr:rowOff>
    </xdr:from>
    <xdr:to>
      <xdr:col>40</xdr:col>
      <xdr:colOff>30479</xdr:colOff>
      <xdr:row>22</xdr:row>
      <xdr:rowOff>153610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524933</xdr:colOff>
      <xdr:row>8</xdr:row>
      <xdr:rowOff>91440</xdr:rowOff>
    </xdr:from>
    <xdr:to>
      <xdr:col>48</xdr:col>
      <xdr:colOff>541733</xdr:colOff>
      <xdr:row>22</xdr:row>
      <xdr:rowOff>124200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423332</xdr:colOff>
      <xdr:row>8</xdr:row>
      <xdr:rowOff>101599</xdr:rowOff>
    </xdr:from>
    <xdr:to>
      <xdr:col>56</xdr:col>
      <xdr:colOff>440132</xdr:colOff>
      <xdr:row>22</xdr:row>
      <xdr:rowOff>119932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AR504"/>
  <sheetViews>
    <sheetView showGridLines="0" topLeftCell="H1" zoomScale="80" zoomScaleNormal="80" workbookViewId="0">
      <selection activeCell="M55" sqref="M55"/>
    </sheetView>
  </sheetViews>
  <sheetFormatPr defaultRowHeight="15" x14ac:dyDescent="0.25"/>
  <cols>
    <col min="1" max="5" width="15.28515625" hidden="1" customWidth="1"/>
    <col min="6" max="6" width="19.7109375" hidden="1" customWidth="1"/>
    <col min="7" max="7" width="15.140625" hidden="1" customWidth="1"/>
    <col min="8" max="11" width="9.28515625" customWidth="1"/>
    <col min="12" max="12" width="19.140625" customWidth="1"/>
    <col min="13" max="44" width="5" customWidth="1"/>
  </cols>
  <sheetData>
    <row r="2" spans="2:44" ht="21" x14ac:dyDescent="0.4">
      <c r="C2" s="30" t="s">
        <v>16</v>
      </c>
      <c r="D2" s="16"/>
      <c r="E2" s="15"/>
      <c r="G2" s="16"/>
      <c r="H2" s="58" t="s">
        <v>33</v>
      </c>
      <c r="I2" s="16"/>
      <c r="J2" s="16"/>
      <c r="M2" s="55" t="s">
        <v>34</v>
      </c>
    </row>
    <row r="3" spans="2:44" thickBot="1" x14ac:dyDescent="0.35">
      <c r="C3" s="16" t="s">
        <v>10</v>
      </c>
      <c r="D3" s="16" t="s">
        <v>11</v>
      </c>
      <c r="G3" s="16"/>
      <c r="H3" s="16"/>
      <c r="I3" s="16"/>
      <c r="J3" s="16"/>
      <c r="M3" s="15" t="s">
        <v>14</v>
      </c>
    </row>
    <row r="4" spans="2:44" ht="19.899999999999999" customHeight="1" x14ac:dyDescent="0.3">
      <c r="B4" s="15" t="s">
        <v>7</v>
      </c>
      <c r="C4" s="18">
        <v>50</v>
      </c>
      <c r="D4" s="18">
        <v>110</v>
      </c>
      <c r="H4" s="167" t="s">
        <v>38</v>
      </c>
      <c r="I4" s="168"/>
      <c r="J4" s="167" t="s">
        <v>39</v>
      </c>
      <c r="K4" s="168"/>
      <c r="L4" s="16" t="s">
        <v>41</v>
      </c>
      <c r="M4" s="13">
        <f t="shared" ref="M4:AR4" si="0">M8+M7</f>
        <v>3</v>
      </c>
      <c r="N4" s="13">
        <f t="shared" si="0"/>
        <v>9</v>
      </c>
      <c r="O4" s="13">
        <f t="shared" si="0"/>
        <v>7</v>
      </c>
      <c r="P4" s="13">
        <f t="shared" si="0"/>
        <v>20</v>
      </c>
      <c r="Q4" s="13">
        <f t="shared" si="0"/>
        <v>27</v>
      </c>
      <c r="R4" s="13">
        <f t="shared" si="0"/>
        <v>34</v>
      </c>
      <c r="S4" s="13">
        <f t="shared" si="0"/>
        <v>45</v>
      </c>
      <c r="T4" s="13">
        <f t="shared" si="0"/>
        <v>52</v>
      </c>
      <c r="U4" s="13">
        <f t="shared" si="0"/>
        <v>47</v>
      </c>
      <c r="V4" s="13">
        <f t="shared" si="0"/>
        <v>54</v>
      </c>
      <c r="W4" s="13">
        <f t="shared" si="0"/>
        <v>39</v>
      </c>
      <c r="X4" s="13">
        <f t="shared" si="0"/>
        <v>49</v>
      </c>
      <c r="Y4" s="13">
        <f t="shared" si="0"/>
        <v>29</v>
      </c>
      <c r="Z4" s="13">
        <f t="shared" si="0"/>
        <v>27</v>
      </c>
      <c r="AA4" s="13">
        <f t="shared" si="0"/>
        <v>25</v>
      </c>
      <c r="AB4" s="13">
        <f t="shared" si="0"/>
        <v>22</v>
      </c>
      <c r="AC4" s="13">
        <f t="shared" si="0"/>
        <v>19</v>
      </c>
      <c r="AD4" s="13">
        <f t="shared" si="0"/>
        <v>39</v>
      </c>
      <c r="AE4" s="13">
        <f t="shared" si="0"/>
        <v>49</v>
      </c>
      <c r="AF4" s="13">
        <f t="shared" si="0"/>
        <v>63</v>
      </c>
      <c r="AG4" s="13">
        <f t="shared" si="0"/>
        <v>62</v>
      </c>
      <c r="AH4" s="13">
        <f t="shared" si="0"/>
        <v>74</v>
      </c>
      <c r="AI4" s="13">
        <f t="shared" si="0"/>
        <v>61</v>
      </c>
      <c r="AJ4" s="13">
        <f t="shared" si="0"/>
        <v>54</v>
      </c>
      <c r="AK4" s="13">
        <f t="shared" si="0"/>
        <v>34</v>
      </c>
      <c r="AL4" s="13">
        <f t="shared" si="0"/>
        <v>24</v>
      </c>
      <c r="AM4" s="13">
        <f t="shared" si="0"/>
        <v>6</v>
      </c>
      <c r="AN4" s="13">
        <f t="shared" si="0"/>
        <v>3</v>
      </c>
      <c r="AO4" s="13">
        <f t="shared" si="0"/>
        <v>2</v>
      </c>
      <c r="AP4" s="13">
        <f t="shared" si="0"/>
        <v>0</v>
      </c>
      <c r="AQ4" s="13">
        <f t="shared" si="0"/>
        <v>0</v>
      </c>
      <c r="AR4" s="13">
        <f t="shared" si="0"/>
        <v>0</v>
      </c>
    </row>
    <row r="5" spans="2:44" ht="19.899999999999999" customHeight="1" x14ac:dyDescent="0.3">
      <c r="B5" s="15" t="s">
        <v>8</v>
      </c>
      <c r="C5" s="18">
        <v>18</v>
      </c>
      <c r="D5" s="18">
        <v>13</v>
      </c>
      <c r="H5" s="26" t="s">
        <v>7</v>
      </c>
      <c r="I5" s="27" t="s">
        <v>8</v>
      </c>
      <c r="J5" s="26" t="s">
        <v>7</v>
      </c>
      <c r="K5" s="27" t="s">
        <v>8</v>
      </c>
      <c r="L5" s="16" t="s">
        <v>13</v>
      </c>
      <c r="M5" s="13">
        <f t="shared" ref="M5:AR5" si="1">M6+step</f>
        <v>10</v>
      </c>
      <c r="N5" s="13">
        <f t="shared" si="1"/>
        <v>15</v>
      </c>
      <c r="O5" s="13">
        <f t="shared" si="1"/>
        <v>20</v>
      </c>
      <c r="P5" s="13">
        <f t="shared" si="1"/>
        <v>25</v>
      </c>
      <c r="Q5" s="13">
        <f t="shared" si="1"/>
        <v>30</v>
      </c>
      <c r="R5" s="13">
        <f t="shared" si="1"/>
        <v>35</v>
      </c>
      <c r="S5" s="13">
        <f t="shared" si="1"/>
        <v>40</v>
      </c>
      <c r="T5" s="13">
        <f t="shared" si="1"/>
        <v>45</v>
      </c>
      <c r="U5" s="13">
        <f t="shared" si="1"/>
        <v>50</v>
      </c>
      <c r="V5" s="13">
        <f t="shared" si="1"/>
        <v>55</v>
      </c>
      <c r="W5" s="13">
        <f t="shared" si="1"/>
        <v>60</v>
      </c>
      <c r="X5" s="13">
        <f t="shared" si="1"/>
        <v>65</v>
      </c>
      <c r="Y5" s="13">
        <f t="shared" si="1"/>
        <v>70</v>
      </c>
      <c r="Z5" s="13">
        <f t="shared" si="1"/>
        <v>75</v>
      </c>
      <c r="AA5" s="13">
        <f t="shared" si="1"/>
        <v>80</v>
      </c>
      <c r="AB5" s="13">
        <f t="shared" si="1"/>
        <v>85</v>
      </c>
      <c r="AC5" s="13">
        <f t="shared" si="1"/>
        <v>90</v>
      </c>
      <c r="AD5" s="13">
        <f t="shared" si="1"/>
        <v>95</v>
      </c>
      <c r="AE5" s="13">
        <f t="shared" si="1"/>
        <v>100</v>
      </c>
      <c r="AF5" s="13">
        <f t="shared" si="1"/>
        <v>105</v>
      </c>
      <c r="AG5" s="13">
        <f t="shared" si="1"/>
        <v>110</v>
      </c>
      <c r="AH5" s="13">
        <f t="shared" si="1"/>
        <v>115</v>
      </c>
      <c r="AI5" s="13">
        <f t="shared" si="1"/>
        <v>120</v>
      </c>
      <c r="AJ5" s="13">
        <f t="shared" si="1"/>
        <v>125</v>
      </c>
      <c r="AK5" s="13">
        <f t="shared" si="1"/>
        <v>130</v>
      </c>
      <c r="AL5" s="13">
        <f t="shared" si="1"/>
        <v>135</v>
      </c>
      <c r="AM5" s="13">
        <f t="shared" si="1"/>
        <v>140</v>
      </c>
      <c r="AN5" s="13">
        <f t="shared" si="1"/>
        <v>145</v>
      </c>
      <c r="AO5" s="13">
        <f t="shared" si="1"/>
        <v>150</v>
      </c>
      <c r="AP5" s="13">
        <f t="shared" si="1"/>
        <v>155</v>
      </c>
      <c r="AQ5" s="13">
        <f t="shared" si="1"/>
        <v>160</v>
      </c>
      <c r="AR5" s="13">
        <f t="shared" si="1"/>
        <v>165</v>
      </c>
    </row>
    <row r="6" spans="2:44" ht="19.899999999999999" customHeight="1" x14ac:dyDescent="0.3">
      <c r="B6" s="15" t="s">
        <v>9</v>
      </c>
      <c r="C6" s="18">
        <v>5</v>
      </c>
      <c r="D6" s="7"/>
      <c r="G6" s="7"/>
      <c r="H6" s="28">
        <v>1</v>
      </c>
      <c r="I6" s="29">
        <v>1</v>
      </c>
      <c r="J6" s="28">
        <v>1</v>
      </c>
      <c r="K6" s="29">
        <v>1</v>
      </c>
      <c r="L6" s="16" t="s">
        <v>12</v>
      </c>
      <c r="M6" s="13">
        <v>5</v>
      </c>
      <c r="N6" s="13">
        <f t="shared" ref="N6:AR6" si="2">M6+step</f>
        <v>10</v>
      </c>
      <c r="O6" s="13">
        <f t="shared" si="2"/>
        <v>15</v>
      </c>
      <c r="P6" s="13">
        <f t="shared" si="2"/>
        <v>20</v>
      </c>
      <c r="Q6" s="13">
        <f t="shared" si="2"/>
        <v>25</v>
      </c>
      <c r="R6" s="13">
        <f t="shared" si="2"/>
        <v>30</v>
      </c>
      <c r="S6" s="13">
        <f t="shared" si="2"/>
        <v>35</v>
      </c>
      <c r="T6" s="13">
        <f t="shared" si="2"/>
        <v>40</v>
      </c>
      <c r="U6" s="13">
        <f t="shared" si="2"/>
        <v>45</v>
      </c>
      <c r="V6" s="13">
        <f t="shared" si="2"/>
        <v>50</v>
      </c>
      <c r="W6" s="13">
        <f t="shared" si="2"/>
        <v>55</v>
      </c>
      <c r="X6" s="13">
        <f t="shared" si="2"/>
        <v>60</v>
      </c>
      <c r="Y6" s="13">
        <f t="shared" si="2"/>
        <v>65</v>
      </c>
      <c r="Z6" s="13">
        <f t="shared" si="2"/>
        <v>70</v>
      </c>
      <c r="AA6" s="13">
        <f t="shared" si="2"/>
        <v>75</v>
      </c>
      <c r="AB6" s="13">
        <f t="shared" si="2"/>
        <v>80</v>
      </c>
      <c r="AC6" s="13">
        <f t="shared" si="2"/>
        <v>85</v>
      </c>
      <c r="AD6" s="13">
        <f t="shared" si="2"/>
        <v>90</v>
      </c>
      <c r="AE6" s="13">
        <f t="shared" si="2"/>
        <v>95</v>
      </c>
      <c r="AF6" s="13">
        <f t="shared" si="2"/>
        <v>100</v>
      </c>
      <c r="AG6" s="13">
        <f t="shared" si="2"/>
        <v>105</v>
      </c>
      <c r="AH6" s="13">
        <f t="shared" si="2"/>
        <v>110</v>
      </c>
      <c r="AI6" s="13">
        <f t="shared" si="2"/>
        <v>115</v>
      </c>
      <c r="AJ6" s="13">
        <f t="shared" si="2"/>
        <v>120</v>
      </c>
      <c r="AK6" s="13">
        <f t="shared" si="2"/>
        <v>125</v>
      </c>
      <c r="AL6" s="13">
        <f t="shared" si="2"/>
        <v>130</v>
      </c>
      <c r="AM6" s="13">
        <f t="shared" si="2"/>
        <v>135</v>
      </c>
      <c r="AN6" s="13">
        <f t="shared" si="2"/>
        <v>140</v>
      </c>
      <c r="AO6" s="13">
        <f t="shared" si="2"/>
        <v>145</v>
      </c>
      <c r="AP6" s="13">
        <f t="shared" si="2"/>
        <v>150</v>
      </c>
      <c r="AQ6" s="13">
        <f t="shared" si="2"/>
        <v>155</v>
      </c>
      <c r="AR6" s="13">
        <f t="shared" si="2"/>
        <v>160</v>
      </c>
    </row>
    <row r="7" spans="2:44" ht="19.899999999999999" hidden="1" customHeight="1" x14ac:dyDescent="0.3">
      <c r="H7" s="21"/>
      <c r="I7" s="22"/>
      <c r="J7" s="21"/>
      <c r="K7" s="8"/>
      <c r="L7" s="5" t="s">
        <v>10</v>
      </c>
      <c r="M7" s="3">
        <f>COUNTIFS($E$14:$E$504,"&gt;"&amp;M$6,$E$14:$E$504,"&lt;="&amp;M$5)</f>
        <v>3</v>
      </c>
      <c r="N7" s="3">
        <f t="shared" ref="N7:AR7" si="3">COUNTIFS($E$14:$E$504,"&gt;"&amp;N$6,$E$14:$E$504,"&lt;="&amp;N$5)</f>
        <v>9</v>
      </c>
      <c r="O7" s="3">
        <f t="shared" si="3"/>
        <v>7</v>
      </c>
      <c r="P7" s="3">
        <f t="shared" si="3"/>
        <v>20</v>
      </c>
      <c r="Q7" s="3">
        <f t="shared" si="3"/>
        <v>27</v>
      </c>
      <c r="R7" s="3">
        <f t="shared" si="3"/>
        <v>34</v>
      </c>
      <c r="S7" s="3">
        <f t="shared" si="3"/>
        <v>45</v>
      </c>
      <c r="T7" s="3">
        <f t="shared" si="3"/>
        <v>52</v>
      </c>
      <c r="U7" s="3">
        <f t="shared" si="3"/>
        <v>47</v>
      </c>
      <c r="V7" s="3">
        <f t="shared" si="3"/>
        <v>54</v>
      </c>
      <c r="W7" s="3">
        <f t="shared" si="3"/>
        <v>39</v>
      </c>
      <c r="X7" s="3">
        <f t="shared" si="3"/>
        <v>49</v>
      </c>
      <c r="Y7" s="3">
        <f t="shared" si="3"/>
        <v>29</v>
      </c>
      <c r="Z7" s="3">
        <f t="shared" si="3"/>
        <v>25</v>
      </c>
      <c r="AA7" s="3">
        <f t="shared" si="3"/>
        <v>22</v>
      </c>
      <c r="AB7" s="3">
        <f t="shared" si="3"/>
        <v>13</v>
      </c>
      <c r="AC7" s="3">
        <f t="shared" si="3"/>
        <v>5</v>
      </c>
      <c r="AD7" s="3">
        <f t="shared" si="3"/>
        <v>4</v>
      </c>
      <c r="AE7" s="3">
        <f t="shared" si="3"/>
        <v>3</v>
      </c>
      <c r="AF7" s="3">
        <f t="shared" si="3"/>
        <v>0</v>
      </c>
      <c r="AG7" s="3">
        <f t="shared" si="3"/>
        <v>1</v>
      </c>
      <c r="AH7" s="3">
        <f t="shared" si="3"/>
        <v>0</v>
      </c>
      <c r="AI7" s="3">
        <f t="shared" si="3"/>
        <v>0</v>
      </c>
      <c r="AJ7" s="3">
        <f t="shared" si="3"/>
        <v>0</v>
      </c>
      <c r="AK7" s="3">
        <f t="shared" si="3"/>
        <v>0</v>
      </c>
      <c r="AL7" s="3">
        <f t="shared" si="3"/>
        <v>0</v>
      </c>
      <c r="AM7" s="3">
        <f t="shared" si="3"/>
        <v>0</v>
      </c>
      <c r="AN7" s="3">
        <f t="shared" si="3"/>
        <v>0</v>
      </c>
      <c r="AO7" s="3">
        <f t="shared" si="3"/>
        <v>0</v>
      </c>
      <c r="AP7" s="3">
        <f t="shared" si="3"/>
        <v>0</v>
      </c>
      <c r="AQ7" s="3">
        <f t="shared" si="3"/>
        <v>0</v>
      </c>
      <c r="AR7" s="3">
        <f t="shared" si="3"/>
        <v>0</v>
      </c>
    </row>
    <row r="8" spans="2:44" ht="19.899999999999999" hidden="1" customHeight="1" thickBot="1" x14ac:dyDescent="0.3">
      <c r="H8" s="21"/>
      <c r="I8" s="22"/>
      <c r="J8" s="21"/>
      <c r="K8" s="8"/>
      <c r="L8" s="5" t="s">
        <v>11</v>
      </c>
      <c r="M8" s="3">
        <f>COUNTIFS($F$14:$F$504,"&gt;"&amp;M$6,$F$14:$F$504,"&lt;="&amp;M$5)</f>
        <v>0</v>
      </c>
      <c r="N8" s="3">
        <f t="shared" ref="N8:AR8" si="4">COUNTIFS($F$14:$F$504,"&gt;"&amp;N$6,$F$14:$F$504,"&lt;="&amp;N$5)</f>
        <v>0</v>
      </c>
      <c r="O8" s="3">
        <f t="shared" si="4"/>
        <v>0</v>
      </c>
      <c r="P8" s="3">
        <f t="shared" si="4"/>
        <v>0</v>
      </c>
      <c r="Q8" s="3">
        <f t="shared" si="4"/>
        <v>0</v>
      </c>
      <c r="R8" s="3">
        <f t="shared" si="4"/>
        <v>0</v>
      </c>
      <c r="S8" s="3">
        <f t="shared" si="4"/>
        <v>0</v>
      </c>
      <c r="T8" s="3">
        <f t="shared" si="4"/>
        <v>0</v>
      </c>
      <c r="U8" s="3">
        <f t="shared" si="4"/>
        <v>0</v>
      </c>
      <c r="V8" s="3">
        <f t="shared" si="4"/>
        <v>0</v>
      </c>
      <c r="W8" s="3">
        <f t="shared" si="4"/>
        <v>0</v>
      </c>
      <c r="X8" s="3">
        <f t="shared" si="4"/>
        <v>0</v>
      </c>
      <c r="Y8" s="3">
        <f t="shared" si="4"/>
        <v>0</v>
      </c>
      <c r="Z8" s="3">
        <f t="shared" si="4"/>
        <v>2</v>
      </c>
      <c r="AA8" s="3">
        <f t="shared" si="4"/>
        <v>3</v>
      </c>
      <c r="AB8" s="3">
        <f t="shared" si="4"/>
        <v>9</v>
      </c>
      <c r="AC8" s="3">
        <f t="shared" si="4"/>
        <v>14</v>
      </c>
      <c r="AD8" s="3">
        <f t="shared" si="4"/>
        <v>35</v>
      </c>
      <c r="AE8" s="3">
        <f t="shared" si="4"/>
        <v>46</v>
      </c>
      <c r="AF8" s="3">
        <f t="shared" si="4"/>
        <v>63</v>
      </c>
      <c r="AG8" s="3">
        <f t="shared" si="4"/>
        <v>61</v>
      </c>
      <c r="AH8" s="3">
        <f t="shared" si="4"/>
        <v>74</v>
      </c>
      <c r="AI8" s="3">
        <f t="shared" si="4"/>
        <v>61</v>
      </c>
      <c r="AJ8" s="3">
        <f t="shared" si="4"/>
        <v>54</v>
      </c>
      <c r="AK8" s="3">
        <f t="shared" si="4"/>
        <v>34</v>
      </c>
      <c r="AL8" s="3">
        <f t="shared" si="4"/>
        <v>24</v>
      </c>
      <c r="AM8" s="3">
        <f t="shared" si="4"/>
        <v>6</v>
      </c>
      <c r="AN8" s="3">
        <f t="shared" si="4"/>
        <v>3</v>
      </c>
      <c r="AO8" s="3">
        <f t="shared" si="4"/>
        <v>2</v>
      </c>
      <c r="AP8" s="3">
        <f t="shared" si="4"/>
        <v>0</v>
      </c>
      <c r="AQ8" s="3">
        <f t="shared" si="4"/>
        <v>0</v>
      </c>
      <c r="AR8" s="3">
        <f t="shared" si="4"/>
        <v>0</v>
      </c>
    </row>
    <row r="9" spans="2:44" ht="19.899999999999999" customHeight="1" x14ac:dyDescent="0.3">
      <c r="H9" s="21"/>
      <c r="I9" s="22"/>
      <c r="J9" s="21"/>
      <c r="K9" s="8"/>
      <c r="L9" s="5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</row>
    <row r="10" spans="2:44" ht="19.899999999999999" customHeight="1" x14ac:dyDescent="0.4">
      <c r="H10" s="21"/>
      <c r="I10" s="22"/>
      <c r="J10" s="21"/>
      <c r="K10" s="8"/>
      <c r="M10" s="55" t="s">
        <v>37</v>
      </c>
    </row>
    <row r="11" spans="2:44" ht="19.899999999999999" customHeight="1" thickBot="1" x14ac:dyDescent="0.35">
      <c r="H11" s="21"/>
      <c r="I11" s="22"/>
      <c r="J11" s="21"/>
      <c r="K11" s="8"/>
      <c r="L11" s="5" t="s">
        <v>38</v>
      </c>
      <c r="M11" s="13">
        <f t="shared" ref="M11:AR11" si="5">_xlfn.NORM.DIST(M6,$H$6,$I$6,FALSE) *2500</f>
        <v>0.33457556441221342</v>
      </c>
      <c r="N11" s="13">
        <f t="shared" si="5"/>
        <v>2.5699433929172292E-15</v>
      </c>
      <c r="O11" s="13">
        <f t="shared" si="5"/>
        <v>2.7415163984724282E-40</v>
      </c>
      <c r="P11" s="13">
        <f t="shared" si="5"/>
        <v>4.0615900919340205E-76</v>
      </c>
      <c r="Q11" s="13">
        <f t="shared" si="5"/>
        <v>8.356786104486145E-123</v>
      </c>
      <c r="R11" s="13">
        <f t="shared" si="5"/>
        <v>2.3879236354872096E-180</v>
      </c>
      <c r="S11" s="13">
        <f t="shared" si="5"/>
        <v>9.4763160002321697E-249</v>
      </c>
      <c r="T11" s="13">
        <f t="shared" si="5"/>
        <v>0</v>
      </c>
      <c r="U11" s="13">
        <f t="shared" si="5"/>
        <v>0</v>
      </c>
      <c r="V11" s="13">
        <f t="shared" si="5"/>
        <v>0</v>
      </c>
      <c r="W11" s="13">
        <f t="shared" si="5"/>
        <v>0</v>
      </c>
      <c r="X11" s="13">
        <f t="shared" si="5"/>
        <v>0</v>
      </c>
      <c r="Y11" s="13">
        <f t="shared" si="5"/>
        <v>0</v>
      </c>
      <c r="Z11" s="13">
        <f t="shared" si="5"/>
        <v>0</v>
      </c>
      <c r="AA11" s="13">
        <f t="shared" si="5"/>
        <v>0</v>
      </c>
      <c r="AB11" s="13">
        <f t="shared" si="5"/>
        <v>0</v>
      </c>
      <c r="AC11" s="13">
        <f t="shared" si="5"/>
        <v>0</v>
      </c>
      <c r="AD11" s="13">
        <f t="shared" si="5"/>
        <v>0</v>
      </c>
      <c r="AE11" s="13">
        <f t="shared" si="5"/>
        <v>0</v>
      </c>
      <c r="AF11" s="13">
        <f t="shared" si="5"/>
        <v>0</v>
      </c>
      <c r="AG11" s="13">
        <f t="shared" si="5"/>
        <v>0</v>
      </c>
      <c r="AH11" s="13">
        <f t="shared" si="5"/>
        <v>0</v>
      </c>
      <c r="AI11" s="13">
        <f t="shared" si="5"/>
        <v>0</v>
      </c>
      <c r="AJ11" s="13">
        <f t="shared" si="5"/>
        <v>0</v>
      </c>
      <c r="AK11" s="13">
        <f t="shared" si="5"/>
        <v>0</v>
      </c>
      <c r="AL11" s="13">
        <f t="shared" si="5"/>
        <v>0</v>
      </c>
      <c r="AM11" s="13">
        <f t="shared" si="5"/>
        <v>0</v>
      </c>
      <c r="AN11" s="13">
        <f t="shared" si="5"/>
        <v>0</v>
      </c>
      <c r="AO11" s="13">
        <f t="shared" si="5"/>
        <v>0</v>
      </c>
      <c r="AP11" s="13">
        <f t="shared" si="5"/>
        <v>0</v>
      </c>
      <c r="AQ11" s="13">
        <f t="shared" si="5"/>
        <v>0</v>
      </c>
      <c r="AR11" s="13">
        <f t="shared" si="5"/>
        <v>0</v>
      </c>
    </row>
    <row r="12" spans="2:44" ht="19.899999999999999" customHeight="1" x14ac:dyDescent="0.25">
      <c r="C12" s="169" t="s">
        <v>35</v>
      </c>
      <c r="D12" s="170"/>
      <c r="E12" s="169" t="s">
        <v>36</v>
      </c>
      <c r="F12" s="170"/>
      <c r="H12" s="21"/>
      <c r="I12" s="22"/>
      <c r="J12" s="21"/>
      <c r="K12" s="8"/>
      <c r="L12" s="5" t="s">
        <v>39</v>
      </c>
      <c r="M12" s="13">
        <f t="shared" ref="M12:AR12" si="6">_xlfn.NORM.DIST(M6,$J$6,$K$6,FALSE) * 2500</f>
        <v>0.33457556441221342</v>
      </c>
      <c r="N12" s="13">
        <f t="shared" si="6"/>
        <v>2.5699433929172292E-15</v>
      </c>
      <c r="O12" s="13">
        <f t="shared" si="6"/>
        <v>2.7415163984724282E-40</v>
      </c>
      <c r="P12" s="13">
        <f t="shared" si="6"/>
        <v>4.0615900919340205E-76</v>
      </c>
      <c r="Q12" s="13">
        <f t="shared" si="6"/>
        <v>8.356786104486145E-123</v>
      </c>
      <c r="R12" s="13">
        <f t="shared" si="6"/>
        <v>2.3879236354872096E-180</v>
      </c>
      <c r="S12" s="13">
        <f t="shared" si="6"/>
        <v>9.4763160002321697E-249</v>
      </c>
      <c r="T12" s="13">
        <f t="shared" si="6"/>
        <v>0</v>
      </c>
      <c r="U12" s="13">
        <f t="shared" si="6"/>
        <v>0</v>
      </c>
      <c r="V12" s="13">
        <f t="shared" si="6"/>
        <v>0</v>
      </c>
      <c r="W12" s="13">
        <f t="shared" si="6"/>
        <v>0</v>
      </c>
      <c r="X12" s="13">
        <f t="shared" si="6"/>
        <v>0</v>
      </c>
      <c r="Y12" s="13">
        <f t="shared" si="6"/>
        <v>0</v>
      </c>
      <c r="Z12" s="13">
        <f t="shared" si="6"/>
        <v>0</v>
      </c>
      <c r="AA12" s="13">
        <f t="shared" si="6"/>
        <v>0</v>
      </c>
      <c r="AB12" s="13">
        <f t="shared" si="6"/>
        <v>0</v>
      </c>
      <c r="AC12" s="13">
        <f t="shared" si="6"/>
        <v>0</v>
      </c>
      <c r="AD12" s="13">
        <f t="shared" si="6"/>
        <v>0</v>
      </c>
      <c r="AE12" s="13">
        <f t="shared" si="6"/>
        <v>0</v>
      </c>
      <c r="AF12" s="13">
        <f t="shared" si="6"/>
        <v>0</v>
      </c>
      <c r="AG12" s="13">
        <f t="shared" si="6"/>
        <v>0</v>
      </c>
      <c r="AH12" s="13">
        <f t="shared" si="6"/>
        <v>0</v>
      </c>
      <c r="AI12" s="13">
        <f t="shared" si="6"/>
        <v>0</v>
      </c>
      <c r="AJ12" s="13">
        <f t="shared" si="6"/>
        <v>0</v>
      </c>
      <c r="AK12" s="13">
        <f t="shared" si="6"/>
        <v>0</v>
      </c>
      <c r="AL12" s="13">
        <f t="shared" si="6"/>
        <v>0</v>
      </c>
      <c r="AM12" s="13">
        <f t="shared" si="6"/>
        <v>0</v>
      </c>
      <c r="AN12" s="13">
        <f t="shared" si="6"/>
        <v>0</v>
      </c>
      <c r="AO12" s="13">
        <f t="shared" si="6"/>
        <v>0</v>
      </c>
      <c r="AP12" s="13">
        <f t="shared" si="6"/>
        <v>0</v>
      </c>
      <c r="AQ12" s="13">
        <f t="shared" si="6"/>
        <v>0</v>
      </c>
      <c r="AR12" s="13">
        <f t="shared" si="6"/>
        <v>0</v>
      </c>
    </row>
    <row r="13" spans="2:44" ht="19.899999999999999" customHeight="1" thickBot="1" x14ac:dyDescent="0.3">
      <c r="C13" s="171"/>
      <c r="D13" s="172"/>
      <c r="E13" s="171"/>
      <c r="F13" s="172"/>
      <c r="H13" s="21"/>
      <c r="I13" s="22"/>
      <c r="J13" s="21"/>
      <c r="K13" s="8"/>
      <c r="L13" s="5" t="s">
        <v>40</v>
      </c>
      <c r="M13" s="13">
        <f t="shared" ref="M13:AR13" si="7">M11+M12</f>
        <v>0.66915112882442684</v>
      </c>
      <c r="N13" s="13">
        <f t="shared" si="7"/>
        <v>5.1398867858344584E-15</v>
      </c>
      <c r="O13" s="13">
        <f t="shared" si="7"/>
        <v>5.4830327969448564E-40</v>
      </c>
      <c r="P13" s="13">
        <f t="shared" si="7"/>
        <v>8.123180183868041E-76</v>
      </c>
      <c r="Q13" s="13">
        <f t="shared" si="7"/>
        <v>1.671357220897229E-122</v>
      </c>
      <c r="R13" s="13">
        <f t="shared" si="7"/>
        <v>4.7758472709744192E-180</v>
      </c>
      <c r="S13" s="13">
        <f t="shared" si="7"/>
        <v>1.8952632000464339E-248</v>
      </c>
      <c r="T13" s="13">
        <f t="shared" si="7"/>
        <v>0</v>
      </c>
      <c r="U13" s="13">
        <f t="shared" si="7"/>
        <v>0</v>
      </c>
      <c r="V13" s="13">
        <f t="shared" si="7"/>
        <v>0</v>
      </c>
      <c r="W13" s="13">
        <f t="shared" si="7"/>
        <v>0</v>
      </c>
      <c r="X13" s="13">
        <f t="shared" si="7"/>
        <v>0</v>
      </c>
      <c r="Y13" s="13">
        <f t="shared" si="7"/>
        <v>0</v>
      </c>
      <c r="Z13" s="13">
        <f t="shared" si="7"/>
        <v>0</v>
      </c>
      <c r="AA13" s="13">
        <f t="shared" si="7"/>
        <v>0</v>
      </c>
      <c r="AB13" s="13">
        <f t="shared" si="7"/>
        <v>0</v>
      </c>
      <c r="AC13" s="13">
        <f t="shared" si="7"/>
        <v>0</v>
      </c>
      <c r="AD13" s="13">
        <f t="shared" si="7"/>
        <v>0</v>
      </c>
      <c r="AE13" s="13">
        <f t="shared" si="7"/>
        <v>0</v>
      </c>
      <c r="AF13" s="13">
        <f t="shared" si="7"/>
        <v>0</v>
      </c>
      <c r="AG13" s="13">
        <f t="shared" si="7"/>
        <v>0</v>
      </c>
      <c r="AH13" s="13">
        <f t="shared" si="7"/>
        <v>0</v>
      </c>
      <c r="AI13" s="13">
        <f t="shared" si="7"/>
        <v>0</v>
      </c>
      <c r="AJ13" s="13">
        <f t="shared" si="7"/>
        <v>0</v>
      </c>
      <c r="AK13" s="13">
        <f t="shared" si="7"/>
        <v>0</v>
      </c>
      <c r="AL13" s="13">
        <f t="shared" si="7"/>
        <v>0</v>
      </c>
      <c r="AM13" s="13">
        <f t="shared" si="7"/>
        <v>0</v>
      </c>
      <c r="AN13" s="13">
        <f t="shared" si="7"/>
        <v>0</v>
      </c>
      <c r="AO13" s="13">
        <f t="shared" si="7"/>
        <v>0</v>
      </c>
      <c r="AP13" s="13">
        <f t="shared" si="7"/>
        <v>0</v>
      </c>
      <c r="AQ13" s="13">
        <f t="shared" si="7"/>
        <v>0</v>
      </c>
      <c r="AR13" s="13">
        <f t="shared" si="7"/>
        <v>0</v>
      </c>
    </row>
    <row r="14" spans="2:44" ht="16.149999999999999" customHeight="1" x14ac:dyDescent="0.3">
      <c r="C14" s="56">
        <f t="shared" ref="C14:D33" ca="1" si="8">_xlfn.NORM.INV(RAND(),C$4,C$5)</f>
        <v>50.819032334536963</v>
      </c>
      <c r="D14" s="56">
        <f t="shared" ca="1" si="8"/>
        <v>97.760611597007596</v>
      </c>
      <c r="E14" s="57">
        <v>38.055228820059654</v>
      </c>
      <c r="F14" s="57">
        <v>91.774052161600636</v>
      </c>
      <c r="G14" s="17"/>
      <c r="H14" s="21"/>
      <c r="I14" s="22"/>
      <c r="J14" s="21"/>
      <c r="K14" s="8"/>
    </row>
    <row r="15" spans="2:44" ht="16.149999999999999" customHeight="1" x14ac:dyDescent="0.3">
      <c r="C15" s="31">
        <f t="shared" ca="1" si="8"/>
        <v>-7.4576762852880165</v>
      </c>
      <c r="D15" s="31">
        <f t="shared" ca="1" si="8"/>
        <v>124.1217540734818</v>
      </c>
      <c r="E15" s="32">
        <v>55.537257875087292</v>
      </c>
      <c r="F15" s="32">
        <v>90.968985405179652</v>
      </c>
      <c r="G15" s="17"/>
      <c r="H15" s="21"/>
      <c r="I15" s="22"/>
      <c r="J15" s="21"/>
      <c r="K15" s="8"/>
      <c r="L15" s="5"/>
    </row>
    <row r="16" spans="2:44" ht="16.149999999999999" customHeight="1" x14ac:dyDescent="0.3">
      <c r="C16" s="31">
        <f t="shared" ca="1" si="8"/>
        <v>37.76687085223206</v>
      </c>
      <c r="D16" s="31">
        <f t="shared" ca="1" si="8"/>
        <v>91.355496183775401</v>
      </c>
      <c r="E16" s="32">
        <v>75.033136110166708</v>
      </c>
      <c r="F16" s="32">
        <v>108.9508783766894</v>
      </c>
      <c r="G16" s="17"/>
      <c r="H16" s="21"/>
      <c r="I16" s="22"/>
      <c r="J16" s="21"/>
      <c r="K16" s="8"/>
    </row>
    <row r="17" spans="3:11" ht="16.149999999999999" customHeight="1" x14ac:dyDescent="0.3">
      <c r="C17" s="31">
        <f t="shared" ca="1" si="8"/>
        <v>73.826978555389516</v>
      </c>
      <c r="D17" s="31">
        <f t="shared" ca="1" si="8"/>
        <v>116.77225042224988</v>
      </c>
      <c r="E17" s="32">
        <v>44.8150254001457</v>
      </c>
      <c r="F17" s="32">
        <v>120.37157170178401</v>
      </c>
      <c r="G17" s="17"/>
      <c r="H17" s="21"/>
      <c r="I17" s="22"/>
      <c r="J17" s="21"/>
      <c r="K17" s="8"/>
    </row>
    <row r="18" spans="3:11" ht="16.149999999999999" customHeight="1" x14ac:dyDescent="0.3">
      <c r="C18" s="31">
        <f t="shared" ca="1" si="8"/>
        <v>50.471485641395532</v>
      </c>
      <c r="D18" s="31">
        <f t="shared" ca="1" si="8"/>
        <v>110.12874886436218</v>
      </c>
      <c r="E18" s="32">
        <v>36.855889505575043</v>
      </c>
      <c r="F18" s="32">
        <v>107.51193190358735</v>
      </c>
      <c r="G18" s="17"/>
      <c r="H18" s="21"/>
      <c r="I18" s="22"/>
      <c r="J18" s="21"/>
      <c r="K18" s="8"/>
    </row>
    <row r="19" spans="3:11" ht="16.149999999999999" customHeight="1" x14ac:dyDescent="0.3">
      <c r="C19" s="31">
        <f t="shared" ca="1" si="8"/>
        <v>44.941204856336356</v>
      </c>
      <c r="D19" s="31">
        <f t="shared" ca="1" si="8"/>
        <v>103.32277434931676</v>
      </c>
      <c r="E19" s="32">
        <v>51.19474691417615</v>
      </c>
      <c r="F19" s="32">
        <v>102.90809117828135</v>
      </c>
      <c r="G19" s="17"/>
      <c r="H19" s="21"/>
      <c r="I19" s="22"/>
      <c r="J19" s="21"/>
      <c r="K19" s="8"/>
    </row>
    <row r="20" spans="3:11" ht="16.149999999999999" customHeight="1" x14ac:dyDescent="0.3">
      <c r="C20" s="31">
        <f t="shared" ca="1" si="8"/>
        <v>58.541398305233713</v>
      </c>
      <c r="D20" s="31">
        <f t="shared" ca="1" si="8"/>
        <v>109.39853562533322</v>
      </c>
      <c r="E20" s="32">
        <v>98.659589471067974</v>
      </c>
      <c r="F20" s="32">
        <v>137.05708471349962</v>
      </c>
      <c r="G20" s="17"/>
      <c r="H20" s="21"/>
      <c r="I20" s="22"/>
      <c r="J20" s="21"/>
      <c r="K20" s="8"/>
    </row>
    <row r="21" spans="3:11" ht="16.149999999999999" customHeight="1" x14ac:dyDescent="0.3">
      <c r="C21" s="31">
        <f t="shared" ca="1" si="8"/>
        <v>73.958142074021822</v>
      </c>
      <c r="D21" s="31">
        <f t="shared" ca="1" si="8"/>
        <v>122.55928105480687</v>
      </c>
      <c r="E21" s="32">
        <v>49.984947592526709</v>
      </c>
      <c r="F21" s="32">
        <v>114.17942038115709</v>
      </c>
      <c r="G21" s="17"/>
      <c r="H21" s="21"/>
      <c r="I21" s="22"/>
      <c r="J21" s="21"/>
      <c r="K21" s="8"/>
    </row>
    <row r="22" spans="3:11" ht="16.149999999999999" customHeight="1" x14ac:dyDescent="0.3">
      <c r="C22" s="31">
        <f t="shared" ca="1" si="8"/>
        <v>41.025598947838816</v>
      </c>
      <c r="D22" s="31">
        <f t="shared" ca="1" si="8"/>
        <v>114.0410352451859</v>
      </c>
      <c r="E22" s="32">
        <v>46.443120907573153</v>
      </c>
      <c r="F22" s="32">
        <v>126.18078897234739</v>
      </c>
      <c r="G22" s="17"/>
      <c r="H22" s="21"/>
      <c r="I22" s="22"/>
      <c r="J22" s="21"/>
      <c r="K22" s="8"/>
    </row>
    <row r="23" spans="3:11" ht="16.149999999999999" customHeight="1" x14ac:dyDescent="0.3">
      <c r="C23" s="31">
        <f t="shared" ca="1" si="8"/>
        <v>50.503087023645207</v>
      </c>
      <c r="D23" s="31">
        <f t="shared" ca="1" si="8"/>
        <v>113.28398560243004</v>
      </c>
      <c r="E23" s="32">
        <v>20.381113847455627</v>
      </c>
      <c r="F23" s="32">
        <v>117.29525579519849</v>
      </c>
      <c r="G23" s="17"/>
      <c r="H23" s="21"/>
      <c r="I23" s="22"/>
      <c r="J23" s="21"/>
      <c r="K23" s="8"/>
    </row>
    <row r="24" spans="3:11" ht="16.149999999999999" customHeight="1" x14ac:dyDescent="0.3">
      <c r="C24" s="31">
        <f t="shared" ca="1" si="8"/>
        <v>54.843572346258398</v>
      </c>
      <c r="D24" s="31">
        <f t="shared" ca="1" si="8"/>
        <v>108.87212298756099</v>
      </c>
      <c r="E24" s="32">
        <v>29.99510613724776</v>
      </c>
      <c r="F24" s="32">
        <v>118.48431346618158</v>
      </c>
      <c r="G24" s="17"/>
      <c r="H24" s="21"/>
      <c r="I24" s="22"/>
      <c r="J24" s="21"/>
      <c r="K24" s="8"/>
    </row>
    <row r="25" spans="3:11" ht="16.149999999999999" customHeight="1" thickBot="1" x14ac:dyDescent="0.35">
      <c r="C25" s="31">
        <f t="shared" ca="1" si="8"/>
        <v>65.331421310070652</v>
      </c>
      <c r="D25" s="31">
        <f t="shared" ca="1" si="8"/>
        <v>96.938365620692224</v>
      </c>
      <c r="E25" s="32">
        <v>22.713145618218366</v>
      </c>
      <c r="F25" s="32">
        <v>107.35768989132671</v>
      </c>
      <c r="G25" s="17"/>
      <c r="H25" s="23"/>
      <c r="I25" s="24"/>
      <c r="J25" s="23"/>
      <c r="K25" s="25"/>
    </row>
    <row r="26" spans="3:11" ht="16.149999999999999" customHeight="1" x14ac:dyDescent="0.3">
      <c r="C26" s="31">
        <f t="shared" ca="1" si="8"/>
        <v>76.761272884753041</v>
      </c>
      <c r="D26" s="31">
        <f t="shared" ca="1" si="8"/>
        <v>122.87104932026078</v>
      </c>
      <c r="E26" s="32">
        <v>38.151463972377769</v>
      </c>
      <c r="F26" s="32">
        <v>109.91984260071348</v>
      </c>
      <c r="G26" s="17"/>
    </row>
    <row r="27" spans="3:11" ht="16.149999999999999" customHeight="1" x14ac:dyDescent="0.3">
      <c r="C27" s="31">
        <f t="shared" ca="1" si="8"/>
        <v>58.576752106641294</v>
      </c>
      <c r="D27" s="31">
        <f t="shared" ca="1" si="8"/>
        <v>109.14968532376828</v>
      </c>
      <c r="E27" s="32">
        <v>45.075903528300955</v>
      </c>
      <c r="F27" s="32">
        <v>114.25850289461897</v>
      </c>
      <c r="G27" s="17"/>
    </row>
    <row r="28" spans="3:11" ht="16.149999999999999" customHeight="1" x14ac:dyDescent="0.3">
      <c r="C28" s="31">
        <f t="shared" ca="1" si="8"/>
        <v>59.76434661759918</v>
      </c>
      <c r="D28" s="31">
        <f t="shared" ca="1" si="8"/>
        <v>116.36808317154954</v>
      </c>
      <c r="E28" s="32">
        <v>36.671936061649056</v>
      </c>
      <c r="F28" s="32">
        <v>102.1921735813934</v>
      </c>
      <c r="G28" s="17"/>
    </row>
    <row r="29" spans="3:11" ht="16.149999999999999" customHeight="1" x14ac:dyDescent="0.3">
      <c r="C29" s="31">
        <f t="shared" ca="1" si="8"/>
        <v>63.506830011834708</v>
      </c>
      <c r="D29" s="31">
        <f t="shared" ca="1" si="8"/>
        <v>106.83054620378101</v>
      </c>
      <c r="E29" s="32">
        <v>25.735200781101085</v>
      </c>
      <c r="F29" s="32">
        <v>104.52833813500195</v>
      </c>
      <c r="G29" s="17"/>
    </row>
    <row r="30" spans="3:11" ht="16.149999999999999" customHeight="1" x14ac:dyDescent="0.25">
      <c r="C30" s="31">
        <f t="shared" ca="1" si="8"/>
        <v>60.652443793050715</v>
      </c>
      <c r="D30" s="31">
        <f t="shared" ca="1" si="8"/>
        <v>119.11681220768018</v>
      </c>
      <c r="E30" s="32">
        <v>47.003172525542283</v>
      </c>
      <c r="F30" s="32">
        <v>92.18759215732419</v>
      </c>
      <c r="G30" s="17"/>
    </row>
    <row r="31" spans="3:11" ht="16.149999999999999" customHeight="1" x14ac:dyDescent="0.25">
      <c r="C31" s="31">
        <f t="shared" ca="1" si="8"/>
        <v>51.184313529538734</v>
      </c>
      <c r="D31" s="31">
        <f t="shared" ca="1" si="8"/>
        <v>99.568503994399208</v>
      </c>
      <c r="E31" s="32">
        <v>78.932386672712255</v>
      </c>
      <c r="F31" s="32">
        <v>115.43497188983379</v>
      </c>
      <c r="G31" s="17"/>
    </row>
    <row r="32" spans="3:11" ht="16.149999999999999" customHeight="1" x14ac:dyDescent="0.25">
      <c r="C32" s="31">
        <f t="shared" ca="1" si="8"/>
        <v>28.3274767993918</v>
      </c>
      <c r="D32" s="31">
        <f t="shared" ca="1" si="8"/>
        <v>113.88553750435238</v>
      </c>
      <c r="E32" s="32">
        <v>32.237855264770047</v>
      </c>
      <c r="F32" s="32">
        <v>121.05745274137412</v>
      </c>
      <c r="G32" s="17"/>
    </row>
    <row r="33" spans="3:7" x14ac:dyDescent="0.25">
      <c r="C33" s="31">
        <f t="shared" ca="1" si="8"/>
        <v>62.165814422455867</v>
      </c>
      <c r="D33" s="31">
        <f t="shared" ca="1" si="8"/>
        <v>120.36564831765534</v>
      </c>
      <c r="E33" s="32">
        <v>43.032932813250525</v>
      </c>
      <c r="F33" s="32">
        <v>116.10402498253539</v>
      </c>
      <c r="G33" s="17"/>
    </row>
    <row r="34" spans="3:7" x14ac:dyDescent="0.25">
      <c r="C34" s="31">
        <f t="shared" ref="C34:D53" ca="1" si="9">_xlfn.NORM.INV(RAND(),C$4,C$5)</f>
        <v>54.130315635352851</v>
      </c>
      <c r="D34" s="31">
        <f t="shared" ca="1" si="9"/>
        <v>95.8034485576175</v>
      </c>
      <c r="E34" s="32">
        <v>36.076653961573086</v>
      </c>
      <c r="F34" s="32">
        <v>103.46879508318766</v>
      </c>
      <c r="G34" s="17"/>
    </row>
    <row r="35" spans="3:7" x14ac:dyDescent="0.25">
      <c r="C35" s="31">
        <f t="shared" ca="1" si="9"/>
        <v>67.497547264849942</v>
      </c>
      <c r="D35" s="31">
        <f t="shared" ca="1" si="9"/>
        <v>106.26510266708885</v>
      </c>
      <c r="E35" s="32">
        <v>32.051094135756543</v>
      </c>
      <c r="F35" s="32">
        <v>141.28628639049813</v>
      </c>
      <c r="G35" s="17"/>
    </row>
    <row r="36" spans="3:7" x14ac:dyDescent="0.25">
      <c r="C36" s="31">
        <f t="shared" ca="1" si="9"/>
        <v>44.762781268262948</v>
      </c>
      <c r="D36" s="31">
        <f t="shared" ca="1" si="9"/>
        <v>124.62021320241706</v>
      </c>
      <c r="E36" s="32">
        <v>64.757415057921477</v>
      </c>
      <c r="F36" s="32">
        <v>122.41234737252567</v>
      </c>
      <c r="G36" s="17"/>
    </row>
    <row r="37" spans="3:7" x14ac:dyDescent="0.25">
      <c r="C37" s="31">
        <f t="shared" ca="1" si="9"/>
        <v>40.171957884390906</v>
      </c>
      <c r="D37" s="31">
        <f t="shared" ca="1" si="9"/>
        <v>103.32364309093042</v>
      </c>
      <c r="E37" s="32">
        <v>77.882708816243607</v>
      </c>
      <c r="F37" s="32">
        <v>111.56286482837815</v>
      </c>
      <c r="G37" s="17"/>
    </row>
    <row r="38" spans="3:7" x14ac:dyDescent="0.25">
      <c r="C38" s="31">
        <f t="shared" ca="1" si="9"/>
        <v>24.39712620011252</v>
      </c>
      <c r="D38" s="31">
        <f t="shared" ca="1" si="9"/>
        <v>84.601165588872959</v>
      </c>
      <c r="E38" s="32">
        <v>37.923068518064369</v>
      </c>
      <c r="F38" s="32">
        <v>80.565581948474417</v>
      </c>
      <c r="G38" s="17"/>
    </row>
    <row r="39" spans="3:7" x14ac:dyDescent="0.25">
      <c r="C39" s="31">
        <f t="shared" ca="1" si="9"/>
        <v>37.277915152696146</v>
      </c>
      <c r="D39" s="31">
        <f t="shared" ca="1" si="9"/>
        <v>99.99869938586302</v>
      </c>
      <c r="E39" s="32">
        <v>26.428131790551433</v>
      </c>
      <c r="F39" s="32">
        <v>110.66467872212246</v>
      </c>
      <c r="G39" s="17"/>
    </row>
    <row r="40" spans="3:7" x14ac:dyDescent="0.25">
      <c r="C40" s="31">
        <f t="shared" ca="1" si="9"/>
        <v>85.959020458073084</v>
      </c>
      <c r="D40" s="31">
        <f t="shared" ca="1" si="9"/>
        <v>112.9591675718014</v>
      </c>
      <c r="E40" s="32">
        <v>36.973831410134281</v>
      </c>
      <c r="F40" s="32">
        <v>92.897842565716729</v>
      </c>
      <c r="G40" s="17"/>
    </row>
    <row r="41" spans="3:7" x14ac:dyDescent="0.25">
      <c r="C41" s="31">
        <f t="shared" ca="1" si="9"/>
        <v>85.063452688561341</v>
      </c>
      <c r="D41" s="31">
        <f t="shared" ca="1" si="9"/>
        <v>100.20528923917939</v>
      </c>
      <c r="E41" s="32">
        <v>29.018041101712104</v>
      </c>
      <c r="F41" s="32">
        <v>108.51653468373127</v>
      </c>
      <c r="G41" s="17"/>
    </row>
    <row r="42" spans="3:7" x14ac:dyDescent="0.25">
      <c r="C42" s="31">
        <f t="shared" ca="1" si="9"/>
        <v>4.346317696721691</v>
      </c>
      <c r="D42" s="31">
        <f t="shared" ca="1" si="9"/>
        <v>95.561104485150622</v>
      </c>
      <c r="E42" s="32">
        <v>78.151215890242469</v>
      </c>
      <c r="F42" s="32">
        <v>147.65842919400725</v>
      </c>
      <c r="G42" s="17"/>
    </row>
    <row r="43" spans="3:7" x14ac:dyDescent="0.25">
      <c r="C43" s="31">
        <f t="shared" ca="1" si="9"/>
        <v>36.723651938050125</v>
      </c>
      <c r="D43" s="31">
        <f t="shared" ca="1" si="9"/>
        <v>121.28765191511899</v>
      </c>
      <c r="E43" s="32">
        <v>46.115681376420468</v>
      </c>
      <c r="F43" s="32">
        <v>95.205600420061643</v>
      </c>
      <c r="G43" s="17"/>
    </row>
    <row r="44" spans="3:7" x14ac:dyDescent="0.25">
      <c r="C44" s="31">
        <f t="shared" ca="1" si="9"/>
        <v>51.703496495344758</v>
      </c>
      <c r="D44" s="31">
        <f t="shared" ca="1" si="9"/>
        <v>125.41224046271326</v>
      </c>
      <c r="E44" s="32">
        <v>42.264989667635263</v>
      </c>
      <c r="F44" s="32">
        <v>108.24449117745185</v>
      </c>
      <c r="G44" s="17"/>
    </row>
    <row r="45" spans="3:7" x14ac:dyDescent="0.25">
      <c r="C45" s="31">
        <f t="shared" ca="1" si="9"/>
        <v>70.536758438225661</v>
      </c>
      <c r="D45" s="31">
        <f t="shared" ca="1" si="9"/>
        <v>109.10089034392439</v>
      </c>
      <c r="E45" s="32">
        <v>42.259458286453736</v>
      </c>
      <c r="F45" s="32">
        <v>124.22972947069917</v>
      </c>
      <c r="G45" s="17"/>
    </row>
    <row r="46" spans="3:7" x14ac:dyDescent="0.25">
      <c r="C46" s="31">
        <f t="shared" ca="1" si="9"/>
        <v>56.684601714849926</v>
      </c>
      <c r="D46" s="31">
        <f t="shared" ca="1" si="9"/>
        <v>111.92540843144344</v>
      </c>
      <c r="E46" s="32">
        <v>66.765883495088787</v>
      </c>
      <c r="F46" s="32">
        <v>108.04755742465463</v>
      </c>
      <c r="G46" s="17"/>
    </row>
    <row r="47" spans="3:7" x14ac:dyDescent="0.25">
      <c r="C47" s="31">
        <f t="shared" ca="1" si="9"/>
        <v>61.37148127496252</v>
      </c>
      <c r="D47" s="31">
        <f t="shared" ca="1" si="9"/>
        <v>84.257493968284024</v>
      </c>
      <c r="E47" s="32">
        <v>84.764823021973427</v>
      </c>
      <c r="F47" s="32">
        <v>101.45347547700405</v>
      </c>
      <c r="G47" s="17"/>
    </row>
    <row r="48" spans="3:7" x14ac:dyDescent="0.25">
      <c r="C48" s="31">
        <f t="shared" ca="1" si="9"/>
        <v>58.461996851711952</v>
      </c>
      <c r="D48" s="31">
        <f t="shared" ca="1" si="9"/>
        <v>114.91322287900181</v>
      </c>
      <c r="E48" s="32">
        <v>35.569219221104625</v>
      </c>
      <c r="F48" s="32">
        <v>119.54833350363532</v>
      </c>
      <c r="G48" s="17"/>
    </row>
    <row r="49" spans="3:10" x14ac:dyDescent="0.25">
      <c r="C49" s="31">
        <f t="shared" ca="1" si="9"/>
        <v>37.052295829538885</v>
      </c>
      <c r="D49" s="31">
        <f t="shared" ca="1" si="9"/>
        <v>99.448315590486771</v>
      </c>
      <c r="E49" s="32">
        <v>78.705252263734963</v>
      </c>
      <c r="F49" s="32">
        <v>121.98504662051991</v>
      </c>
      <c r="G49" s="17"/>
    </row>
    <row r="50" spans="3:10" x14ac:dyDescent="0.25">
      <c r="C50" s="31">
        <f t="shared" ca="1" si="9"/>
        <v>52.302975423256449</v>
      </c>
      <c r="D50" s="31">
        <f t="shared" ca="1" si="9"/>
        <v>124.52369584748931</v>
      </c>
      <c r="E50" s="32">
        <v>54.376170993580978</v>
      </c>
      <c r="F50" s="32">
        <v>99.401167334801201</v>
      </c>
      <c r="G50" s="17"/>
    </row>
    <row r="51" spans="3:10" x14ac:dyDescent="0.25">
      <c r="C51" s="31">
        <f t="shared" ca="1" si="9"/>
        <v>47.819841253697788</v>
      </c>
      <c r="D51" s="31">
        <f t="shared" ca="1" si="9"/>
        <v>98.11322204617737</v>
      </c>
      <c r="E51" s="32">
        <v>46.141503757471767</v>
      </c>
      <c r="F51" s="32">
        <v>131.75168632567141</v>
      </c>
      <c r="G51" s="17"/>
      <c r="H51" s="17"/>
      <c r="I51" s="17"/>
      <c r="J51" s="17"/>
    </row>
    <row r="52" spans="3:10" x14ac:dyDescent="0.25">
      <c r="C52" s="31">
        <f t="shared" ca="1" si="9"/>
        <v>75.602262637300313</v>
      </c>
      <c r="D52" s="31">
        <f t="shared" ca="1" si="9"/>
        <v>97.845330947687316</v>
      </c>
      <c r="E52" s="32">
        <v>22.026322576278623</v>
      </c>
      <c r="F52" s="32">
        <v>98.107667009625104</v>
      </c>
      <c r="G52" s="17"/>
      <c r="H52" s="17"/>
      <c r="I52" s="17"/>
      <c r="J52" s="17"/>
    </row>
    <row r="53" spans="3:10" x14ac:dyDescent="0.25">
      <c r="C53" s="31">
        <f t="shared" ca="1" si="9"/>
        <v>46.575531788278063</v>
      </c>
      <c r="D53" s="31">
        <f t="shared" ca="1" si="9"/>
        <v>105.30678308966233</v>
      </c>
      <c r="E53" s="32">
        <v>51.73690734422663</v>
      </c>
      <c r="F53" s="32">
        <v>113.54076170206118</v>
      </c>
      <c r="G53" s="17"/>
      <c r="H53" s="17"/>
      <c r="I53" s="17"/>
      <c r="J53" s="17"/>
    </row>
    <row r="54" spans="3:10" x14ac:dyDescent="0.25">
      <c r="C54" s="31">
        <f t="shared" ref="C54:D73" ca="1" si="10">_xlfn.NORM.INV(RAND(),C$4,C$5)</f>
        <v>56.585930795595814</v>
      </c>
      <c r="D54" s="31">
        <f t="shared" ca="1" si="10"/>
        <v>114.94349520736155</v>
      </c>
      <c r="E54" s="32">
        <v>50.98313775284872</v>
      </c>
      <c r="F54" s="32">
        <v>120.12123024909795</v>
      </c>
      <c r="G54" s="17"/>
      <c r="H54" s="17"/>
      <c r="I54" s="17"/>
      <c r="J54" s="17"/>
    </row>
    <row r="55" spans="3:10" x14ac:dyDescent="0.25">
      <c r="C55" s="31">
        <f t="shared" ca="1" si="10"/>
        <v>56.894693972291321</v>
      </c>
      <c r="D55" s="31">
        <f t="shared" ca="1" si="10"/>
        <v>93.796989778356249</v>
      </c>
      <c r="E55" s="32">
        <v>80.168987383764005</v>
      </c>
      <c r="F55" s="32">
        <v>103.2611080991409</v>
      </c>
      <c r="G55" s="17"/>
      <c r="H55" s="17"/>
      <c r="I55" s="17"/>
      <c r="J55" s="17"/>
    </row>
    <row r="56" spans="3:10" x14ac:dyDescent="0.25">
      <c r="C56" s="31">
        <f t="shared" ca="1" si="10"/>
        <v>45.853895391319725</v>
      </c>
      <c r="D56" s="31">
        <f t="shared" ca="1" si="10"/>
        <v>98.779253846028141</v>
      </c>
      <c r="E56" s="32">
        <v>64.761302184035131</v>
      </c>
      <c r="F56" s="32">
        <v>97.369816634620335</v>
      </c>
      <c r="G56" s="17"/>
      <c r="H56" s="17"/>
      <c r="I56" s="17"/>
      <c r="J56" s="17"/>
    </row>
    <row r="57" spans="3:10" x14ac:dyDescent="0.25">
      <c r="C57" s="31">
        <f t="shared" ca="1" si="10"/>
        <v>39.412439117575332</v>
      </c>
      <c r="D57" s="31">
        <f t="shared" ca="1" si="10"/>
        <v>113.92832384998077</v>
      </c>
      <c r="E57" s="32">
        <v>68.744326168119457</v>
      </c>
      <c r="F57" s="32">
        <v>116.09741658937835</v>
      </c>
      <c r="G57" s="17"/>
      <c r="H57" s="17"/>
      <c r="I57" s="17"/>
      <c r="J57" s="17"/>
    </row>
    <row r="58" spans="3:10" x14ac:dyDescent="0.25">
      <c r="C58" s="31">
        <f t="shared" ca="1" si="10"/>
        <v>53.941339886421851</v>
      </c>
      <c r="D58" s="31">
        <f t="shared" ca="1" si="10"/>
        <v>98.64103434412506</v>
      </c>
      <c r="E58" s="32">
        <v>63.5907763244631</v>
      </c>
      <c r="F58" s="32">
        <v>89.2796904485337</v>
      </c>
      <c r="G58" s="17"/>
      <c r="H58" s="17"/>
      <c r="I58" s="17"/>
      <c r="J58" s="17"/>
    </row>
    <row r="59" spans="3:10" x14ac:dyDescent="0.25">
      <c r="C59" s="31">
        <f t="shared" ca="1" si="10"/>
        <v>55.588718959084545</v>
      </c>
      <c r="D59" s="31">
        <f t="shared" ca="1" si="10"/>
        <v>103.31740508741345</v>
      </c>
      <c r="E59" s="32">
        <v>39.44605960230642</v>
      </c>
      <c r="F59" s="32">
        <v>126.55017621420711</v>
      </c>
      <c r="G59" s="17"/>
      <c r="H59" s="17"/>
      <c r="I59" s="17"/>
      <c r="J59" s="17"/>
    </row>
    <row r="60" spans="3:10" x14ac:dyDescent="0.25">
      <c r="C60" s="31">
        <f t="shared" ca="1" si="10"/>
        <v>58.840827999063819</v>
      </c>
      <c r="D60" s="31">
        <f t="shared" ca="1" si="10"/>
        <v>113.81959381819837</v>
      </c>
      <c r="E60" s="32">
        <v>79.074211987419659</v>
      </c>
      <c r="F60" s="32">
        <v>104.7986745808456</v>
      </c>
      <c r="G60" s="17"/>
      <c r="H60" s="17"/>
      <c r="I60" s="17"/>
      <c r="J60" s="17"/>
    </row>
    <row r="61" spans="3:10" x14ac:dyDescent="0.25">
      <c r="C61" s="31">
        <f t="shared" ca="1" si="10"/>
        <v>100.73990670498407</v>
      </c>
      <c r="D61" s="31">
        <f t="shared" ca="1" si="10"/>
        <v>94.505929012001175</v>
      </c>
      <c r="E61" s="32">
        <v>55.951398425113865</v>
      </c>
      <c r="F61" s="32">
        <v>119.30247864162723</v>
      </c>
      <c r="G61" s="17"/>
      <c r="H61" s="17"/>
      <c r="I61" s="17"/>
      <c r="J61" s="17"/>
    </row>
    <row r="62" spans="3:10" x14ac:dyDescent="0.25">
      <c r="C62" s="31">
        <f t="shared" ca="1" si="10"/>
        <v>43.517017881584778</v>
      </c>
      <c r="D62" s="31">
        <f t="shared" ca="1" si="10"/>
        <v>95.304007635395081</v>
      </c>
      <c r="E62" s="32">
        <v>106.50131594486</v>
      </c>
      <c r="F62" s="32">
        <v>98.996974795612644</v>
      </c>
      <c r="G62" s="17"/>
      <c r="H62" s="17"/>
      <c r="I62" s="17"/>
      <c r="J62" s="17"/>
    </row>
    <row r="63" spans="3:10" x14ac:dyDescent="0.25">
      <c r="C63" s="31">
        <f t="shared" ca="1" si="10"/>
        <v>36.421522293580679</v>
      </c>
      <c r="D63" s="31">
        <f t="shared" ca="1" si="10"/>
        <v>103.78123748610615</v>
      </c>
      <c r="E63" s="32">
        <v>49.400060089509303</v>
      </c>
      <c r="F63" s="32">
        <v>128.76113645017099</v>
      </c>
      <c r="G63" s="17"/>
      <c r="H63" s="17"/>
      <c r="I63" s="17"/>
      <c r="J63" s="17"/>
    </row>
    <row r="64" spans="3:10" x14ac:dyDescent="0.25">
      <c r="C64" s="31">
        <f t="shared" ca="1" si="10"/>
        <v>49.577628241134015</v>
      </c>
      <c r="D64" s="31">
        <f t="shared" ca="1" si="10"/>
        <v>91.954496325214734</v>
      </c>
      <c r="E64" s="32">
        <v>61.67628017920353</v>
      </c>
      <c r="F64" s="32">
        <v>105.93323343688257</v>
      </c>
      <c r="G64" s="17"/>
      <c r="H64" s="17"/>
      <c r="I64" s="17"/>
      <c r="J64" s="17"/>
    </row>
    <row r="65" spans="3:10" x14ac:dyDescent="0.25">
      <c r="C65" s="31">
        <f t="shared" ca="1" si="10"/>
        <v>36.402680156916347</v>
      </c>
      <c r="D65" s="31">
        <f t="shared" ca="1" si="10"/>
        <v>109.61139822675794</v>
      </c>
      <c r="E65" s="32">
        <v>83.526251595742508</v>
      </c>
      <c r="F65" s="32">
        <v>109.93324236758529</v>
      </c>
      <c r="G65" s="17"/>
      <c r="H65" s="17"/>
      <c r="I65" s="17"/>
      <c r="J65" s="17"/>
    </row>
    <row r="66" spans="3:10" x14ac:dyDescent="0.25">
      <c r="C66" s="31">
        <f t="shared" ca="1" si="10"/>
        <v>40.638151177191666</v>
      </c>
      <c r="D66" s="31">
        <f t="shared" ca="1" si="10"/>
        <v>100.43237898961978</v>
      </c>
      <c r="E66" s="32">
        <v>41.521359698307663</v>
      </c>
      <c r="F66" s="32">
        <v>128.55194379881013</v>
      </c>
      <c r="G66" s="17"/>
      <c r="H66" s="17"/>
      <c r="I66" s="17"/>
      <c r="J66" s="17"/>
    </row>
    <row r="67" spans="3:10" x14ac:dyDescent="0.25">
      <c r="C67" s="31">
        <f t="shared" ca="1" si="10"/>
        <v>20.666503380108118</v>
      </c>
      <c r="D67" s="31">
        <f t="shared" ca="1" si="10"/>
        <v>102.67509580825207</v>
      </c>
      <c r="E67" s="32">
        <v>52.555780785344602</v>
      </c>
      <c r="F67" s="32">
        <v>96.558730003992352</v>
      </c>
      <c r="G67" s="17"/>
      <c r="H67" s="17"/>
      <c r="I67" s="17"/>
      <c r="J67" s="17"/>
    </row>
    <row r="68" spans="3:10" x14ac:dyDescent="0.25">
      <c r="C68" s="31">
        <f t="shared" ca="1" si="10"/>
        <v>68.076301586801407</v>
      </c>
      <c r="D68" s="31">
        <f t="shared" ca="1" si="10"/>
        <v>124.85803667544167</v>
      </c>
      <c r="E68" s="32">
        <v>15.991437186442674</v>
      </c>
      <c r="F68" s="32">
        <v>105.38419493585529</v>
      </c>
      <c r="G68" s="17"/>
      <c r="H68" s="17"/>
      <c r="I68" s="17"/>
      <c r="J68" s="17"/>
    </row>
    <row r="69" spans="3:10" x14ac:dyDescent="0.25">
      <c r="C69" s="31">
        <f t="shared" ca="1" si="10"/>
        <v>48.786716773881494</v>
      </c>
      <c r="D69" s="31">
        <f t="shared" ca="1" si="10"/>
        <v>115.72228140805205</v>
      </c>
      <c r="E69" s="32">
        <v>44.714717732289422</v>
      </c>
      <c r="F69" s="32">
        <v>111.76826034313855</v>
      </c>
      <c r="G69" s="17"/>
      <c r="H69" s="17"/>
      <c r="I69" s="17"/>
      <c r="J69" s="17"/>
    </row>
    <row r="70" spans="3:10" x14ac:dyDescent="0.25">
      <c r="C70" s="31">
        <f t="shared" ca="1" si="10"/>
        <v>66.9963459173959</v>
      </c>
      <c r="D70" s="31">
        <f t="shared" ca="1" si="10"/>
        <v>95.714521707337369</v>
      </c>
      <c r="E70" s="32">
        <v>38.515326376149446</v>
      </c>
      <c r="F70" s="32">
        <v>117.02586554782192</v>
      </c>
      <c r="G70" s="17"/>
      <c r="H70" s="17"/>
      <c r="I70" s="17"/>
      <c r="J70" s="17"/>
    </row>
    <row r="71" spans="3:10" x14ac:dyDescent="0.25">
      <c r="C71" s="31">
        <f t="shared" ca="1" si="10"/>
        <v>68.941064861452119</v>
      </c>
      <c r="D71" s="31">
        <f t="shared" ca="1" si="10"/>
        <v>91.193130156032154</v>
      </c>
      <c r="E71" s="32">
        <v>31.720257367752627</v>
      </c>
      <c r="F71" s="32">
        <v>119.10485262844125</v>
      </c>
      <c r="G71" s="17"/>
      <c r="H71" s="17"/>
      <c r="I71" s="17"/>
      <c r="J71" s="17"/>
    </row>
    <row r="72" spans="3:10" x14ac:dyDescent="0.25">
      <c r="C72" s="31">
        <f t="shared" ca="1" si="10"/>
        <v>56.305071301699876</v>
      </c>
      <c r="D72" s="31">
        <f t="shared" ca="1" si="10"/>
        <v>126.6031587028281</v>
      </c>
      <c r="E72" s="32">
        <v>66.776683760351915</v>
      </c>
      <c r="F72" s="32">
        <v>106.02115581053737</v>
      </c>
      <c r="G72" s="17"/>
      <c r="H72" s="17"/>
      <c r="I72" s="17"/>
      <c r="J72" s="17"/>
    </row>
    <row r="73" spans="3:10" x14ac:dyDescent="0.25">
      <c r="C73" s="31">
        <f t="shared" ca="1" si="10"/>
        <v>44.730122704075342</v>
      </c>
      <c r="D73" s="31">
        <f t="shared" ca="1" si="10"/>
        <v>100.99327461531631</v>
      </c>
      <c r="E73" s="32">
        <v>29.149099367454557</v>
      </c>
      <c r="F73" s="32">
        <v>90.50530322357929</v>
      </c>
      <c r="G73" s="17"/>
      <c r="H73" s="17"/>
      <c r="I73" s="17"/>
      <c r="J73" s="17"/>
    </row>
    <row r="74" spans="3:10" x14ac:dyDescent="0.25">
      <c r="C74" s="31">
        <f t="shared" ref="C74:D93" ca="1" si="11">_xlfn.NORM.INV(RAND(),C$4,C$5)</f>
        <v>51.654412788238126</v>
      </c>
      <c r="D74" s="31">
        <f t="shared" ca="1" si="11"/>
        <v>107.38717725511647</v>
      </c>
      <c r="E74" s="32">
        <v>-5.1466373533530145</v>
      </c>
      <c r="F74" s="32">
        <v>82.552624909266385</v>
      </c>
      <c r="G74" s="17"/>
      <c r="H74" s="17"/>
      <c r="I74" s="17"/>
      <c r="J74" s="17"/>
    </row>
    <row r="75" spans="3:10" x14ac:dyDescent="0.25">
      <c r="C75" s="31">
        <f t="shared" ca="1" si="11"/>
        <v>62.67564752537389</v>
      </c>
      <c r="D75" s="31">
        <f t="shared" ca="1" si="11"/>
        <v>114.11062626162472</v>
      </c>
      <c r="E75" s="32">
        <v>35.124683799280987</v>
      </c>
      <c r="F75" s="32">
        <v>132.98512400849506</v>
      </c>
      <c r="G75" s="17"/>
      <c r="H75" s="17"/>
      <c r="I75" s="17"/>
      <c r="J75" s="17"/>
    </row>
    <row r="76" spans="3:10" x14ac:dyDescent="0.25">
      <c r="C76" s="31">
        <f t="shared" ca="1" si="11"/>
        <v>52.637969913754752</v>
      </c>
      <c r="D76" s="31">
        <f t="shared" ca="1" si="11"/>
        <v>89.695202488668983</v>
      </c>
      <c r="E76" s="32">
        <v>32.102341827371006</v>
      </c>
      <c r="F76" s="32">
        <v>113.86355398351787</v>
      </c>
      <c r="G76" s="17"/>
      <c r="H76" s="17"/>
      <c r="I76" s="17"/>
      <c r="J76" s="17"/>
    </row>
    <row r="77" spans="3:10" x14ac:dyDescent="0.25">
      <c r="C77" s="31">
        <f t="shared" ca="1" si="11"/>
        <v>42.091809200105104</v>
      </c>
      <c r="D77" s="31">
        <f t="shared" ca="1" si="11"/>
        <v>115.75353302601935</v>
      </c>
      <c r="E77" s="32">
        <v>39.810134036731277</v>
      </c>
      <c r="F77" s="32">
        <v>94.635745629976185</v>
      </c>
      <c r="G77" s="17"/>
      <c r="H77" s="17"/>
      <c r="I77" s="17"/>
      <c r="J77" s="17"/>
    </row>
    <row r="78" spans="3:10" x14ac:dyDescent="0.25">
      <c r="C78" s="31">
        <f t="shared" ca="1" si="11"/>
        <v>64.948405363074599</v>
      </c>
      <c r="D78" s="31">
        <f t="shared" ca="1" si="11"/>
        <v>118.9259327199895</v>
      </c>
      <c r="E78" s="32">
        <v>27.127891756548411</v>
      </c>
      <c r="F78" s="32">
        <v>121.81921717477536</v>
      </c>
      <c r="G78" s="17"/>
      <c r="H78" s="17"/>
      <c r="I78" s="17"/>
      <c r="J78" s="17"/>
    </row>
    <row r="79" spans="3:10" x14ac:dyDescent="0.25">
      <c r="C79" s="31">
        <f t="shared" ca="1" si="11"/>
        <v>63.459125775100553</v>
      </c>
      <c r="D79" s="31">
        <f t="shared" ca="1" si="11"/>
        <v>102.714538610601</v>
      </c>
      <c r="E79" s="32">
        <v>37.749654881029443</v>
      </c>
      <c r="F79" s="32">
        <v>115.20812270058293</v>
      </c>
      <c r="G79" s="17"/>
      <c r="H79" s="17"/>
      <c r="I79" s="17"/>
      <c r="J79" s="17"/>
    </row>
    <row r="80" spans="3:10" x14ac:dyDescent="0.25">
      <c r="C80" s="31">
        <f t="shared" ca="1" si="11"/>
        <v>39.886255911294718</v>
      </c>
      <c r="D80" s="31">
        <f t="shared" ca="1" si="11"/>
        <v>116.52958944713207</v>
      </c>
      <c r="E80" s="32">
        <v>26.976251068961457</v>
      </c>
      <c r="F80" s="32">
        <v>125.61312901433209</v>
      </c>
      <c r="G80" s="17"/>
      <c r="H80" s="17"/>
      <c r="I80" s="17"/>
      <c r="J80" s="17"/>
    </row>
    <row r="81" spans="3:10" x14ac:dyDescent="0.25">
      <c r="C81" s="31">
        <f t="shared" ca="1" si="11"/>
        <v>56.082617671902952</v>
      </c>
      <c r="D81" s="31">
        <f t="shared" ca="1" si="11"/>
        <v>98.694710745655087</v>
      </c>
      <c r="E81" s="32">
        <v>55.213750482202514</v>
      </c>
      <c r="F81" s="32">
        <v>104.24532759957137</v>
      </c>
      <c r="G81" s="17"/>
      <c r="H81" s="17"/>
      <c r="I81" s="17"/>
      <c r="J81" s="17"/>
    </row>
    <row r="82" spans="3:10" x14ac:dyDescent="0.25">
      <c r="C82" s="31">
        <f t="shared" ca="1" si="11"/>
        <v>68.321635036100787</v>
      </c>
      <c r="D82" s="31">
        <f t="shared" ca="1" si="11"/>
        <v>113.8143496895804</v>
      </c>
      <c r="E82" s="32">
        <v>76.682205887184224</v>
      </c>
      <c r="F82" s="32">
        <v>92.583714803515008</v>
      </c>
      <c r="G82" s="17"/>
      <c r="H82" s="17"/>
      <c r="I82" s="17"/>
      <c r="J82" s="17"/>
    </row>
    <row r="83" spans="3:10" x14ac:dyDescent="0.25">
      <c r="C83" s="31">
        <f t="shared" ca="1" si="11"/>
        <v>58.751775427625901</v>
      </c>
      <c r="D83" s="31">
        <f t="shared" ca="1" si="11"/>
        <v>111.40460345176845</v>
      </c>
      <c r="E83" s="32">
        <v>86.673288704858834</v>
      </c>
      <c r="F83" s="32">
        <v>111.25183002558998</v>
      </c>
      <c r="G83" s="17"/>
      <c r="H83" s="17"/>
      <c r="I83" s="17"/>
      <c r="J83" s="17"/>
    </row>
    <row r="84" spans="3:10" x14ac:dyDescent="0.25">
      <c r="C84" s="31">
        <f t="shared" ca="1" si="11"/>
        <v>50.367363663775627</v>
      </c>
      <c r="D84" s="31">
        <f t="shared" ca="1" si="11"/>
        <v>99.777069847250559</v>
      </c>
      <c r="E84" s="32">
        <v>50.37348348686988</v>
      </c>
      <c r="F84" s="32">
        <v>99.613543869417228</v>
      </c>
      <c r="G84" s="17"/>
      <c r="H84" s="17"/>
      <c r="I84" s="17"/>
      <c r="J84" s="17"/>
    </row>
    <row r="85" spans="3:10" x14ac:dyDescent="0.25">
      <c r="C85" s="31">
        <f t="shared" ca="1" si="11"/>
        <v>42.928739261567394</v>
      </c>
      <c r="D85" s="31">
        <f t="shared" ca="1" si="11"/>
        <v>85.148850743357599</v>
      </c>
      <c r="E85" s="32">
        <v>33.286624205121967</v>
      </c>
      <c r="F85" s="32">
        <v>137.63933571474604</v>
      </c>
      <c r="G85" s="17"/>
      <c r="H85" s="17"/>
      <c r="I85" s="17"/>
      <c r="J85" s="17"/>
    </row>
    <row r="86" spans="3:10" x14ac:dyDescent="0.25">
      <c r="C86" s="31">
        <f t="shared" ca="1" si="11"/>
        <v>53.28893105136229</v>
      </c>
      <c r="D86" s="31">
        <f t="shared" ca="1" si="11"/>
        <v>108.62503430681133</v>
      </c>
      <c r="E86" s="32">
        <v>45.78264068614034</v>
      </c>
      <c r="F86" s="32">
        <v>89.971157317820712</v>
      </c>
      <c r="G86" s="17"/>
      <c r="H86" s="17"/>
      <c r="I86" s="17"/>
      <c r="J86" s="17"/>
    </row>
    <row r="87" spans="3:10" x14ac:dyDescent="0.25">
      <c r="C87" s="31">
        <f t="shared" ca="1" si="11"/>
        <v>50.201107581503138</v>
      </c>
      <c r="D87" s="31">
        <f t="shared" ca="1" si="11"/>
        <v>128.84104501312225</v>
      </c>
      <c r="E87" s="32">
        <v>64.660383823797602</v>
      </c>
      <c r="F87" s="32">
        <v>109.71189514369966</v>
      </c>
      <c r="G87" s="17"/>
      <c r="H87" s="17"/>
      <c r="I87" s="17"/>
      <c r="J87" s="17"/>
    </row>
    <row r="88" spans="3:10" x14ac:dyDescent="0.25">
      <c r="C88" s="31">
        <f t="shared" ca="1" si="11"/>
        <v>78.848913798828818</v>
      </c>
      <c r="D88" s="31">
        <f t="shared" ca="1" si="11"/>
        <v>123.62179191592224</v>
      </c>
      <c r="E88" s="32">
        <v>51.281557313119166</v>
      </c>
      <c r="F88" s="32">
        <v>94.874721816975693</v>
      </c>
      <c r="G88" s="17"/>
      <c r="H88" s="17"/>
      <c r="I88" s="17"/>
      <c r="J88" s="17"/>
    </row>
    <row r="89" spans="3:10" x14ac:dyDescent="0.25">
      <c r="C89" s="31">
        <f t="shared" ca="1" si="11"/>
        <v>40.422041605518693</v>
      </c>
      <c r="D89" s="31">
        <f t="shared" ca="1" si="11"/>
        <v>116.03491452353063</v>
      </c>
      <c r="E89" s="32">
        <v>28.440642317171587</v>
      </c>
      <c r="F89" s="32">
        <v>102.71586502656885</v>
      </c>
      <c r="G89" s="17"/>
      <c r="H89" s="17"/>
      <c r="I89" s="17"/>
      <c r="J89" s="17"/>
    </row>
    <row r="90" spans="3:10" x14ac:dyDescent="0.25">
      <c r="C90" s="31">
        <f t="shared" ca="1" si="11"/>
        <v>56.01344908765244</v>
      </c>
      <c r="D90" s="31">
        <f t="shared" ca="1" si="11"/>
        <v>126.15910945664592</v>
      </c>
      <c r="E90" s="32">
        <v>55.791558672438143</v>
      </c>
      <c r="F90" s="32">
        <v>119.79839399813007</v>
      </c>
      <c r="G90" s="17"/>
      <c r="H90" s="17"/>
      <c r="I90" s="17"/>
      <c r="J90" s="17"/>
    </row>
    <row r="91" spans="3:10" x14ac:dyDescent="0.25">
      <c r="C91" s="31">
        <f t="shared" ca="1" si="11"/>
        <v>80.770266923152448</v>
      </c>
      <c r="D91" s="31">
        <f t="shared" ca="1" si="11"/>
        <v>93.615307012844667</v>
      </c>
      <c r="E91" s="32">
        <v>69.902155744422117</v>
      </c>
      <c r="F91" s="32">
        <v>115.47612319264064</v>
      </c>
      <c r="G91" s="17"/>
      <c r="H91" s="17"/>
      <c r="I91" s="17"/>
      <c r="J91" s="17"/>
    </row>
    <row r="92" spans="3:10" x14ac:dyDescent="0.25">
      <c r="C92" s="31">
        <f t="shared" ca="1" si="11"/>
        <v>46.265809012124649</v>
      </c>
      <c r="D92" s="31">
        <f t="shared" ca="1" si="11"/>
        <v>119.85316288407482</v>
      </c>
      <c r="E92" s="32">
        <v>45.147753900962712</v>
      </c>
      <c r="F92" s="32">
        <v>112.76624207332179</v>
      </c>
      <c r="G92" s="17"/>
      <c r="H92" s="17"/>
      <c r="I92" s="17"/>
      <c r="J92" s="17"/>
    </row>
    <row r="93" spans="3:10" x14ac:dyDescent="0.25">
      <c r="C93" s="31">
        <f t="shared" ca="1" si="11"/>
        <v>24.558311106721227</v>
      </c>
      <c r="D93" s="31">
        <f t="shared" ca="1" si="11"/>
        <v>128.76489938559979</v>
      </c>
      <c r="E93" s="32">
        <v>72.714047062422907</v>
      </c>
      <c r="F93" s="32">
        <v>88.780131020057112</v>
      </c>
      <c r="G93" s="17"/>
      <c r="H93" s="17"/>
      <c r="I93" s="17"/>
      <c r="J93" s="17"/>
    </row>
    <row r="94" spans="3:10" x14ac:dyDescent="0.25">
      <c r="C94" s="31">
        <f t="shared" ref="C94:D113" ca="1" si="12">_xlfn.NORM.INV(RAND(),C$4,C$5)</f>
        <v>51.775330977144847</v>
      </c>
      <c r="D94" s="31">
        <f t="shared" ca="1" si="12"/>
        <v>112.42920295784189</v>
      </c>
      <c r="E94" s="32">
        <v>50.832569812490107</v>
      </c>
      <c r="F94" s="32">
        <v>102.74538190788958</v>
      </c>
      <c r="G94" s="17"/>
      <c r="H94" s="17"/>
      <c r="I94" s="17"/>
      <c r="J94" s="17"/>
    </row>
    <row r="95" spans="3:10" x14ac:dyDescent="0.25">
      <c r="C95" s="31">
        <f t="shared" ca="1" si="12"/>
        <v>49.501689995174395</v>
      </c>
      <c r="D95" s="31">
        <f t="shared" ca="1" si="12"/>
        <v>113.59790614329175</v>
      </c>
      <c r="E95" s="32">
        <v>50.786941552989468</v>
      </c>
      <c r="F95" s="32">
        <v>134.81136379022627</v>
      </c>
      <c r="G95" s="17"/>
      <c r="H95" s="17"/>
      <c r="I95" s="17"/>
      <c r="J95" s="17"/>
    </row>
    <row r="96" spans="3:10" x14ac:dyDescent="0.25">
      <c r="C96" s="31">
        <f t="shared" ca="1" si="12"/>
        <v>72.677349209733293</v>
      </c>
      <c r="D96" s="31">
        <f t="shared" ca="1" si="12"/>
        <v>94.834036517501787</v>
      </c>
      <c r="E96" s="32">
        <v>56.262073379027555</v>
      </c>
      <c r="F96" s="32">
        <v>122.07642793513098</v>
      </c>
      <c r="G96" s="17"/>
      <c r="H96" s="17"/>
      <c r="I96" s="17"/>
      <c r="J96" s="17"/>
    </row>
    <row r="97" spans="3:10" x14ac:dyDescent="0.25">
      <c r="C97" s="31">
        <f t="shared" ca="1" si="12"/>
        <v>3.8327151829053747</v>
      </c>
      <c r="D97" s="31">
        <f t="shared" ca="1" si="12"/>
        <v>102.53169580340719</v>
      </c>
      <c r="E97" s="32">
        <v>24.481636803041241</v>
      </c>
      <c r="F97" s="32">
        <v>113.10857087451032</v>
      </c>
      <c r="G97" s="17"/>
      <c r="H97" s="17"/>
      <c r="I97" s="17"/>
      <c r="J97" s="17"/>
    </row>
    <row r="98" spans="3:10" x14ac:dyDescent="0.25">
      <c r="C98" s="31">
        <f t="shared" ca="1" si="12"/>
        <v>33.342729808166979</v>
      </c>
      <c r="D98" s="31">
        <f t="shared" ca="1" si="12"/>
        <v>101.07969070698806</v>
      </c>
      <c r="E98" s="32">
        <v>32.207279535193884</v>
      </c>
      <c r="F98" s="32">
        <v>101.28366526245705</v>
      </c>
      <c r="G98" s="17"/>
      <c r="H98" s="17"/>
      <c r="I98" s="17"/>
      <c r="J98" s="17"/>
    </row>
    <row r="99" spans="3:10" x14ac:dyDescent="0.25">
      <c r="C99" s="31">
        <f t="shared" ca="1" si="12"/>
        <v>62.821780838564798</v>
      </c>
      <c r="D99" s="31">
        <f t="shared" ca="1" si="12"/>
        <v>105.01447396839887</v>
      </c>
      <c r="E99" s="32">
        <v>69.216857505766697</v>
      </c>
      <c r="F99" s="32">
        <v>113.22057508088811</v>
      </c>
      <c r="G99" s="17"/>
      <c r="H99" s="17"/>
      <c r="I99" s="17"/>
      <c r="J99" s="17"/>
    </row>
    <row r="100" spans="3:10" x14ac:dyDescent="0.25">
      <c r="C100" s="31">
        <f t="shared" ca="1" si="12"/>
        <v>49.359843664841662</v>
      </c>
      <c r="D100" s="31">
        <f t="shared" ca="1" si="12"/>
        <v>102.05749426426888</v>
      </c>
      <c r="E100" s="32">
        <v>79.667276161911161</v>
      </c>
      <c r="F100" s="32">
        <v>111.38356388749465</v>
      </c>
      <c r="G100" s="17"/>
      <c r="H100" s="17"/>
      <c r="I100" s="17"/>
      <c r="J100" s="17"/>
    </row>
    <row r="101" spans="3:10" x14ac:dyDescent="0.25">
      <c r="C101" s="31">
        <f t="shared" ca="1" si="12"/>
        <v>58.031633524530875</v>
      </c>
      <c r="D101" s="31">
        <f t="shared" ca="1" si="12"/>
        <v>113.51240265620493</v>
      </c>
      <c r="E101" s="32">
        <v>66.602295614797484</v>
      </c>
      <c r="F101" s="32">
        <v>122.66020125431183</v>
      </c>
      <c r="G101" s="17"/>
      <c r="H101" s="17"/>
      <c r="I101" s="17"/>
      <c r="J101" s="17"/>
    </row>
    <row r="102" spans="3:10" x14ac:dyDescent="0.25">
      <c r="C102" s="31">
        <f t="shared" ca="1" si="12"/>
        <v>43.731664043454316</v>
      </c>
      <c r="D102" s="31">
        <f t="shared" ca="1" si="12"/>
        <v>112.48244676967579</v>
      </c>
      <c r="E102" s="32">
        <v>81.866276120419471</v>
      </c>
      <c r="F102" s="32">
        <v>102.41901005347418</v>
      </c>
      <c r="G102" s="17"/>
      <c r="H102" s="17"/>
      <c r="I102" s="17"/>
      <c r="J102" s="17"/>
    </row>
    <row r="103" spans="3:10" x14ac:dyDescent="0.25">
      <c r="C103" s="31">
        <f t="shared" ca="1" si="12"/>
        <v>63.698092754365938</v>
      </c>
      <c r="D103" s="31">
        <f t="shared" ca="1" si="12"/>
        <v>84.380047762295675</v>
      </c>
      <c r="E103" s="32">
        <v>22.652257291439447</v>
      </c>
      <c r="F103" s="32">
        <v>109.10610001790971</v>
      </c>
      <c r="G103" s="17"/>
      <c r="H103" s="17"/>
      <c r="I103" s="17"/>
      <c r="J103" s="17"/>
    </row>
    <row r="104" spans="3:10" x14ac:dyDescent="0.25">
      <c r="C104" s="31">
        <f t="shared" ca="1" si="12"/>
        <v>68.711564148606783</v>
      </c>
      <c r="D104" s="31">
        <f t="shared" ca="1" si="12"/>
        <v>128.01136398692131</v>
      </c>
      <c r="E104" s="32">
        <v>80.7992029198018</v>
      </c>
      <c r="F104" s="32">
        <v>108.90321236966844</v>
      </c>
      <c r="G104" s="17"/>
      <c r="H104" s="17"/>
      <c r="I104" s="17"/>
      <c r="J104" s="17"/>
    </row>
    <row r="105" spans="3:10" x14ac:dyDescent="0.25">
      <c r="C105" s="31">
        <f t="shared" ca="1" si="12"/>
        <v>37.133942906847253</v>
      </c>
      <c r="D105" s="31">
        <f t="shared" ca="1" si="12"/>
        <v>130.15158947124695</v>
      </c>
      <c r="E105" s="32">
        <v>43.081872195816217</v>
      </c>
      <c r="F105" s="32">
        <v>117.62446901083173</v>
      </c>
      <c r="G105" s="17"/>
      <c r="H105" s="17"/>
      <c r="I105" s="17"/>
      <c r="J105" s="17"/>
    </row>
    <row r="106" spans="3:10" x14ac:dyDescent="0.25">
      <c r="C106" s="31">
        <f t="shared" ca="1" si="12"/>
        <v>44.578487295451978</v>
      </c>
      <c r="D106" s="31">
        <f t="shared" ca="1" si="12"/>
        <v>103.46989967875008</v>
      </c>
      <c r="E106" s="32">
        <v>75.826653069107124</v>
      </c>
      <c r="F106" s="32">
        <v>111.41505149497615</v>
      </c>
      <c r="G106" s="17"/>
      <c r="H106" s="17"/>
      <c r="I106" s="17"/>
      <c r="J106" s="17"/>
    </row>
    <row r="107" spans="3:10" x14ac:dyDescent="0.25">
      <c r="C107" s="31">
        <f t="shared" ca="1" si="12"/>
        <v>77.431018398233064</v>
      </c>
      <c r="D107" s="31">
        <f t="shared" ca="1" si="12"/>
        <v>83.020935842281148</v>
      </c>
      <c r="E107" s="32">
        <v>23.810879710599011</v>
      </c>
      <c r="F107" s="32">
        <v>114.70255341246646</v>
      </c>
      <c r="G107" s="17"/>
      <c r="H107" s="17"/>
      <c r="I107" s="17"/>
      <c r="J107" s="17"/>
    </row>
    <row r="108" spans="3:10" x14ac:dyDescent="0.25">
      <c r="C108" s="31">
        <f t="shared" ca="1" si="12"/>
        <v>38.876149904634957</v>
      </c>
      <c r="D108" s="31">
        <f t="shared" ca="1" si="12"/>
        <v>117.85930081305244</v>
      </c>
      <c r="E108" s="32">
        <v>41.479352322193961</v>
      </c>
      <c r="F108" s="32">
        <v>79.518260516761444</v>
      </c>
      <c r="G108" s="17"/>
      <c r="H108" s="17"/>
      <c r="I108" s="17"/>
      <c r="J108" s="17"/>
    </row>
    <row r="109" spans="3:10" x14ac:dyDescent="0.25">
      <c r="C109" s="31">
        <f t="shared" ca="1" si="12"/>
        <v>16.499104477078987</v>
      </c>
      <c r="D109" s="31">
        <f t="shared" ca="1" si="12"/>
        <v>94.971086322871216</v>
      </c>
      <c r="E109" s="32">
        <v>56.043686392147222</v>
      </c>
      <c r="F109" s="32">
        <v>130.64333821451601</v>
      </c>
      <c r="G109" s="17"/>
      <c r="H109" s="17"/>
      <c r="I109" s="17"/>
      <c r="J109" s="17"/>
    </row>
    <row r="110" spans="3:10" x14ac:dyDescent="0.25">
      <c r="C110" s="31">
        <f t="shared" ca="1" si="12"/>
        <v>34.670284839362168</v>
      </c>
      <c r="D110" s="31">
        <f t="shared" ca="1" si="12"/>
        <v>108.46810634245234</v>
      </c>
      <c r="E110" s="32">
        <v>33.975336083318624</v>
      </c>
      <c r="F110" s="32">
        <v>101.02623307491206</v>
      </c>
      <c r="G110" s="17"/>
      <c r="H110" s="17"/>
      <c r="I110" s="17"/>
      <c r="J110" s="17"/>
    </row>
    <row r="111" spans="3:10" x14ac:dyDescent="0.25">
      <c r="C111" s="31">
        <f t="shared" ca="1" si="12"/>
        <v>34.766632067680248</v>
      </c>
      <c r="D111" s="31">
        <f t="shared" ca="1" si="12"/>
        <v>107.06774486491568</v>
      </c>
      <c r="E111" s="32">
        <v>68.054701664882714</v>
      </c>
      <c r="F111" s="32">
        <v>128.13659783187944</v>
      </c>
      <c r="G111" s="17"/>
      <c r="H111" s="17"/>
      <c r="I111" s="17"/>
      <c r="J111" s="17"/>
    </row>
    <row r="112" spans="3:10" x14ac:dyDescent="0.25">
      <c r="C112" s="31">
        <f t="shared" ca="1" si="12"/>
        <v>51.538751732333644</v>
      </c>
      <c r="D112" s="31">
        <f t="shared" ca="1" si="12"/>
        <v>106.15332599078069</v>
      </c>
      <c r="E112" s="32">
        <v>41.148576954604145</v>
      </c>
      <c r="F112" s="32">
        <v>138.10614149311201</v>
      </c>
      <c r="G112" s="17"/>
      <c r="H112" s="17"/>
      <c r="I112" s="17"/>
      <c r="J112" s="17"/>
    </row>
    <row r="113" spans="3:10" x14ac:dyDescent="0.25">
      <c r="C113" s="31">
        <f t="shared" ca="1" si="12"/>
        <v>28.313096920442291</v>
      </c>
      <c r="D113" s="31">
        <f t="shared" ca="1" si="12"/>
        <v>126.73322688116275</v>
      </c>
      <c r="E113" s="32">
        <v>60.57601443864344</v>
      </c>
      <c r="F113" s="32">
        <v>86.668379864886461</v>
      </c>
      <c r="G113" s="17"/>
      <c r="H113" s="17"/>
      <c r="I113" s="17"/>
      <c r="J113" s="17"/>
    </row>
    <row r="114" spans="3:10" x14ac:dyDescent="0.25">
      <c r="C114" s="31">
        <f t="shared" ref="C114:D133" ca="1" si="13">_xlfn.NORM.INV(RAND(),C$4,C$5)</f>
        <v>49.154746846984068</v>
      </c>
      <c r="D114" s="31">
        <f t="shared" ca="1" si="13"/>
        <v>135.07500706819769</v>
      </c>
      <c r="E114" s="32">
        <v>34.927329500702569</v>
      </c>
      <c r="F114" s="32">
        <v>76.824108422983983</v>
      </c>
      <c r="G114" s="17"/>
      <c r="H114" s="17"/>
      <c r="I114" s="17"/>
      <c r="J114" s="17"/>
    </row>
    <row r="115" spans="3:10" x14ac:dyDescent="0.25">
      <c r="C115" s="31">
        <f t="shared" ca="1" si="13"/>
        <v>37.546171757894413</v>
      </c>
      <c r="D115" s="31">
        <f t="shared" ca="1" si="13"/>
        <v>101.25769932141367</v>
      </c>
      <c r="E115" s="32">
        <v>69.346465102988915</v>
      </c>
      <c r="F115" s="32">
        <v>111.28349323504904</v>
      </c>
      <c r="G115" s="17"/>
      <c r="H115" s="17"/>
      <c r="I115" s="17"/>
      <c r="J115" s="17"/>
    </row>
    <row r="116" spans="3:10" x14ac:dyDescent="0.25">
      <c r="C116" s="31">
        <f t="shared" ca="1" si="13"/>
        <v>38.858210069326354</v>
      </c>
      <c r="D116" s="31">
        <f t="shared" ca="1" si="13"/>
        <v>118.04243974387586</v>
      </c>
      <c r="E116" s="32">
        <v>79.511281006088922</v>
      </c>
      <c r="F116" s="32">
        <v>114.40630926910343</v>
      </c>
      <c r="G116" s="17"/>
      <c r="H116" s="17"/>
      <c r="I116" s="17"/>
      <c r="J116" s="17"/>
    </row>
    <row r="117" spans="3:10" x14ac:dyDescent="0.25">
      <c r="C117" s="31">
        <f t="shared" ca="1" si="13"/>
        <v>13.230315361161054</v>
      </c>
      <c r="D117" s="31">
        <f t="shared" ca="1" si="13"/>
        <v>83.3263608022271</v>
      </c>
      <c r="E117" s="32">
        <v>30.815046860430066</v>
      </c>
      <c r="F117" s="32">
        <v>105.1362722605525</v>
      </c>
      <c r="G117" s="17"/>
      <c r="H117" s="17"/>
      <c r="I117" s="17"/>
      <c r="J117" s="17"/>
    </row>
    <row r="118" spans="3:10" x14ac:dyDescent="0.25">
      <c r="C118" s="31">
        <f t="shared" ca="1" si="13"/>
        <v>48.095086973452673</v>
      </c>
      <c r="D118" s="31">
        <f t="shared" ca="1" si="13"/>
        <v>107.42295432569864</v>
      </c>
      <c r="E118" s="32">
        <v>24.353820732050828</v>
      </c>
      <c r="F118" s="32">
        <v>128.82359065077188</v>
      </c>
      <c r="G118" s="17"/>
      <c r="H118" s="17"/>
      <c r="I118" s="17"/>
      <c r="J118" s="17"/>
    </row>
    <row r="119" spans="3:10" x14ac:dyDescent="0.25">
      <c r="C119" s="31">
        <f t="shared" ca="1" si="13"/>
        <v>31.619408318248631</v>
      </c>
      <c r="D119" s="31">
        <f t="shared" ca="1" si="13"/>
        <v>104.77615400907524</v>
      </c>
      <c r="E119" s="32">
        <v>54.115051816846645</v>
      </c>
      <c r="F119" s="32">
        <v>106.95539446276989</v>
      </c>
      <c r="G119" s="17"/>
      <c r="H119" s="17"/>
      <c r="I119" s="17"/>
      <c r="J119" s="17"/>
    </row>
    <row r="120" spans="3:10" x14ac:dyDescent="0.25">
      <c r="C120" s="31">
        <f t="shared" ca="1" si="13"/>
        <v>71.63380295097474</v>
      </c>
      <c r="D120" s="31">
        <f t="shared" ca="1" si="13"/>
        <v>110.7230941983015</v>
      </c>
      <c r="E120" s="32">
        <v>40.613764453897844</v>
      </c>
      <c r="F120" s="32">
        <v>101.65142052511067</v>
      </c>
      <c r="G120" s="17"/>
      <c r="H120" s="17"/>
      <c r="I120" s="17"/>
      <c r="J120" s="17"/>
    </row>
    <row r="121" spans="3:10" x14ac:dyDescent="0.25">
      <c r="C121" s="31">
        <f t="shared" ca="1" si="13"/>
        <v>-3.9415540831670199</v>
      </c>
      <c r="D121" s="31">
        <f t="shared" ca="1" si="13"/>
        <v>79.462157843032642</v>
      </c>
      <c r="E121" s="32">
        <v>67.753450404889279</v>
      </c>
      <c r="F121" s="32">
        <v>82.445135329767567</v>
      </c>
      <c r="G121" s="17"/>
      <c r="H121" s="17"/>
      <c r="I121" s="17"/>
      <c r="J121" s="17"/>
    </row>
    <row r="122" spans="3:10" x14ac:dyDescent="0.25">
      <c r="C122" s="31">
        <f t="shared" ca="1" si="13"/>
        <v>43.392974473249915</v>
      </c>
      <c r="D122" s="31">
        <f t="shared" ca="1" si="13"/>
        <v>139.38666501464647</v>
      </c>
      <c r="E122" s="32">
        <v>71.548066970100564</v>
      </c>
      <c r="F122" s="32">
        <v>113.37235288185983</v>
      </c>
      <c r="G122" s="17"/>
      <c r="H122" s="17"/>
      <c r="I122" s="17"/>
      <c r="J122" s="17"/>
    </row>
    <row r="123" spans="3:10" x14ac:dyDescent="0.25">
      <c r="C123" s="31">
        <f t="shared" ca="1" si="13"/>
        <v>35.697279708322299</v>
      </c>
      <c r="D123" s="31">
        <f t="shared" ca="1" si="13"/>
        <v>135.36371497011027</v>
      </c>
      <c r="E123" s="32">
        <v>24.795457963890229</v>
      </c>
      <c r="F123" s="32">
        <v>98.832058612749748</v>
      </c>
      <c r="G123" s="17"/>
      <c r="H123" s="17"/>
      <c r="I123" s="17"/>
      <c r="J123" s="17"/>
    </row>
    <row r="124" spans="3:10" x14ac:dyDescent="0.25">
      <c r="C124" s="31">
        <f t="shared" ca="1" si="13"/>
        <v>59.315425041111887</v>
      </c>
      <c r="D124" s="31">
        <f t="shared" ca="1" si="13"/>
        <v>131.16366632068116</v>
      </c>
      <c r="E124" s="32">
        <v>41.322070011559937</v>
      </c>
      <c r="F124" s="32">
        <v>130.50008219307861</v>
      </c>
      <c r="G124" s="17"/>
      <c r="H124" s="17"/>
      <c r="I124" s="17"/>
      <c r="J124" s="17"/>
    </row>
    <row r="125" spans="3:10" x14ac:dyDescent="0.25">
      <c r="C125" s="31">
        <f t="shared" ca="1" si="13"/>
        <v>55.310881384181151</v>
      </c>
      <c r="D125" s="31">
        <f t="shared" ca="1" si="13"/>
        <v>117.67544970792906</v>
      </c>
      <c r="E125" s="32">
        <v>42.504783346957801</v>
      </c>
      <c r="F125" s="32">
        <v>105.98798470300989</v>
      </c>
      <c r="G125" s="17"/>
      <c r="H125" s="17"/>
      <c r="I125" s="17"/>
      <c r="J125" s="17"/>
    </row>
    <row r="126" spans="3:10" x14ac:dyDescent="0.25">
      <c r="C126" s="31">
        <f t="shared" ca="1" si="13"/>
        <v>62.256218938030656</v>
      </c>
      <c r="D126" s="31">
        <f t="shared" ca="1" si="13"/>
        <v>126.94771451048977</v>
      </c>
      <c r="E126" s="32">
        <v>37.122067296531974</v>
      </c>
      <c r="F126" s="32">
        <v>123.27176747006126</v>
      </c>
      <c r="G126" s="17"/>
      <c r="H126" s="17"/>
      <c r="I126" s="17"/>
      <c r="J126" s="17"/>
    </row>
    <row r="127" spans="3:10" x14ac:dyDescent="0.25">
      <c r="C127" s="31">
        <f t="shared" ca="1" si="13"/>
        <v>79.689761030738509</v>
      </c>
      <c r="D127" s="31">
        <f t="shared" ca="1" si="13"/>
        <v>120.17533947954482</v>
      </c>
      <c r="E127" s="32">
        <v>60.96453813137704</v>
      </c>
      <c r="F127" s="32">
        <v>118.2134060340766</v>
      </c>
      <c r="G127" s="17"/>
      <c r="H127" s="17"/>
      <c r="I127" s="17"/>
      <c r="J127" s="17"/>
    </row>
    <row r="128" spans="3:10" x14ac:dyDescent="0.25">
      <c r="C128" s="31">
        <f t="shared" ca="1" si="13"/>
        <v>47.538325127866763</v>
      </c>
      <c r="D128" s="31">
        <f t="shared" ca="1" si="13"/>
        <v>122.20643816627269</v>
      </c>
      <c r="E128" s="32">
        <v>54.05888597967256</v>
      </c>
      <c r="F128" s="32">
        <v>101.19436718958819</v>
      </c>
      <c r="G128" s="17"/>
      <c r="H128" s="17"/>
      <c r="I128" s="17"/>
      <c r="J128" s="17"/>
    </row>
    <row r="129" spans="3:10" x14ac:dyDescent="0.25">
      <c r="C129" s="31">
        <f t="shared" ca="1" si="13"/>
        <v>48.534612508513099</v>
      </c>
      <c r="D129" s="31">
        <f t="shared" ca="1" si="13"/>
        <v>91.890475122558058</v>
      </c>
      <c r="E129" s="32">
        <v>38.365029324826828</v>
      </c>
      <c r="F129" s="32">
        <v>110.08639423030897</v>
      </c>
      <c r="G129" s="17"/>
      <c r="H129" s="17"/>
      <c r="I129" s="17"/>
      <c r="J129" s="17"/>
    </row>
    <row r="130" spans="3:10" x14ac:dyDescent="0.25">
      <c r="C130" s="31">
        <f t="shared" ca="1" si="13"/>
        <v>49.709923455093687</v>
      </c>
      <c r="D130" s="31">
        <f t="shared" ca="1" si="13"/>
        <v>112.99213702536626</v>
      </c>
      <c r="E130" s="32">
        <v>73.178546827719529</v>
      </c>
      <c r="F130" s="32">
        <v>115.2384210509145</v>
      </c>
      <c r="G130" s="17"/>
      <c r="H130" s="17"/>
      <c r="I130" s="17"/>
      <c r="J130" s="17"/>
    </row>
    <row r="131" spans="3:10" x14ac:dyDescent="0.25">
      <c r="C131" s="31">
        <f t="shared" ca="1" si="13"/>
        <v>16.320748633184948</v>
      </c>
      <c r="D131" s="31">
        <f t="shared" ca="1" si="13"/>
        <v>103.3771929714167</v>
      </c>
      <c r="E131" s="32">
        <v>22.439888429186322</v>
      </c>
      <c r="F131" s="32">
        <v>117.43626762082226</v>
      </c>
      <c r="G131" s="17"/>
      <c r="H131" s="17"/>
      <c r="I131" s="17"/>
      <c r="J131" s="17"/>
    </row>
    <row r="132" spans="3:10" x14ac:dyDescent="0.25">
      <c r="C132" s="31">
        <f t="shared" ca="1" si="13"/>
        <v>72.560885357461245</v>
      </c>
      <c r="D132" s="31">
        <f t="shared" ca="1" si="13"/>
        <v>123.01374628801975</v>
      </c>
      <c r="E132" s="32">
        <v>40.035147408669793</v>
      </c>
      <c r="F132" s="32">
        <v>109.66141825666516</v>
      </c>
      <c r="G132" s="17"/>
      <c r="H132" s="17"/>
      <c r="I132" s="17"/>
      <c r="J132" s="17"/>
    </row>
    <row r="133" spans="3:10" x14ac:dyDescent="0.25">
      <c r="C133" s="31">
        <f t="shared" ca="1" si="13"/>
        <v>13.826277365054167</v>
      </c>
      <c r="D133" s="31">
        <f t="shared" ca="1" si="13"/>
        <v>129.71454360688912</v>
      </c>
      <c r="E133" s="32">
        <v>38.350572406454397</v>
      </c>
      <c r="F133" s="32">
        <v>117.04121190321506</v>
      </c>
      <c r="G133" s="17"/>
      <c r="H133" s="17"/>
      <c r="I133" s="17"/>
      <c r="J133" s="17"/>
    </row>
    <row r="134" spans="3:10" x14ac:dyDescent="0.25">
      <c r="C134" s="31">
        <f t="shared" ref="C134:D153" ca="1" si="14">_xlfn.NORM.INV(RAND(),C$4,C$5)</f>
        <v>41.356127300043504</v>
      </c>
      <c r="D134" s="31">
        <f t="shared" ca="1" si="14"/>
        <v>98.242015639403206</v>
      </c>
      <c r="E134" s="32">
        <v>64.906664196677653</v>
      </c>
      <c r="F134" s="32">
        <v>131.80858768320383</v>
      </c>
      <c r="G134" s="17"/>
      <c r="H134" s="17"/>
      <c r="I134" s="17"/>
      <c r="J134" s="17"/>
    </row>
    <row r="135" spans="3:10" x14ac:dyDescent="0.25">
      <c r="C135" s="31">
        <f t="shared" ca="1" si="14"/>
        <v>46.452471133604504</v>
      </c>
      <c r="D135" s="31">
        <f t="shared" ca="1" si="14"/>
        <v>117.0884771573231</v>
      </c>
      <c r="E135" s="32">
        <v>35.701390213836127</v>
      </c>
      <c r="F135" s="32">
        <v>92.171031691967855</v>
      </c>
      <c r="G135" s="17"/>
      <c r="H135" s="17"/>
      <c r="I135" s="17"/>
      <c r="J135" s="17"/>
    </row>
    <row r="136" spans="3:10" x14ac:dyDescent="0.25">
      <c r="C136" s="31">
        <f t="shared" ca="1" si="14"/>
        <v>66.617071568763009</v>
      </c>
      <c r="D136" s="31">
        <f t="shared" ca="1" si="14"/>
        <v>101.90642024340646</v>
      </c>
      <c r="E136" s="32">
        <v>67.151545858920286</v>
      </c>
      <c r="F136" s="32">
        <v>117.77404253305662</v>
      </c>
      <c r="G136" s="17"/>
      <c r="H136" s="17"/>
      <c r="I136" s="17"/>
      <c r="J136" s="17"/>
    </row>
    <row r="137" spans="3:10" x14ac:dyDescent="0.25">
      <c r="C137" s="31">
        <f t="shared" ca="1" si="14"/>
        <v>37.474473349904969</v>
      </c>
      <c r="D137" s="31">
        <f t="shared" ca="1" si="14"/>
        <v>133.50625727758546</v>
      </c>
      <c r="E137" s="32">
        <v>32.237308166085327</v>
      </c>
      <c r="F137" s="32">
        <v>113.79554841831649</v>
      </c>
      <c r="G137" s="17"/>
      <c r="H137" s="17"/>
      <c r="I137" s="17"/>
      <c r="J137" s="17"/>
    </row>
    <row r="138" spans="3:10" x14ac:dyDescent="0.25">
      <c r="C138" s="31">
        <f t="shared" ca="1" si="14"/>
        <v>55.302324301703599</v>
      </c>
      <c r="D138" s="31">
        <f t="shared" ca="1" si="14"/>
        <v>120.96111860613098</v>
      </c>
      <c r="E138" s="32">
        <v>52.234870004199948</v>
      </c>
      <c r="F138" s="32">
        <v>104.24055453171006</v>
      </c>
      <c r="G138" s="17"/>
      <c r="H138" s="17"/>
      <c r="I138" s="17"/>
      <c r="J138" s="17"/>
    </row>
    <row r="139" spans="3:10" x14ac:dyDescent="0.25">
      <c r="C139" s="31">
        <f t="shared" ca="1" si="14"/>
        <v>75.994967275208026</v>
      </c>
      <c r="D139" s="31">
        <f t="shared" ca="1" si="14"/>
        <v>119.14479781335707</v>
      </c>
      <c r="E139" s="32">
        <v>55.981761930960474</v>
      </c>
      <c r="F139" s="32">
        <v>110.3573593744641</v>
      </c>
      <c r="G139" s="17"/>
      <c r="H139" s="17"/>
      <c r="I139" s="17"/>
      <c r="J139" s="17"/>
    </row>
    <row r="140" spans="3:10" x14ac:dyDescent="0.25">
      <c r="C140" s="31">
        <f t="shared" ca="1" si="14"/>
        <v>46.599463919108167</v>
      </c>
      <c r="D140" s="31">
        <f t="shared" ca="1" si="14"/>
        <v>131.52514819574006</v>
      </c>
      <c r="E140" s="32">
        <v>50.563392576895581</v>
      </c>
      <c r="F140" s="32">
        <v>129.1692850994589</v>
      </c>
      <c r="G140" s="17"/>
      <c r="H140" s="17"/>
      <c r="I140" s="17"/>
      <c r="J140" s="17"/>
    </row>
    <row r="141" spans="3:10" x14ac:dyDescent="0.25">
      <c r="C141" s="31">
        <f t="shared" ca="1" si="14"/>
        <v>68.645851394458759</v>
      </c>
      <c r="D141" s="31">
        <f t="shared" ca="1" si="14"/>
        <v>121.94627887982357</v>
      </c>
      <c r="E141" s="32">
        <v>48.088847084317543</v>
      </c>
      <c r="F141" s="32">
        <v>113.10547546513881</v>
      </c>
      <c r="G141" s="17"/>
      <c r="H141" s="17"/>
      <c r="I141" s="17"/>
      <c r="J141" s="17"/>
    </row>
    <row r="142" spans="3:10" x14ac:dyDescent="0.25">
      <c r="C142" s="31">
        <f t="shared" ca="1" si="14"/>
        <v>30.847217538130611</v>
      </c>
      <c r="D142" s="31">
        <f t="shared" ca="1" si="14"/>
        <v>141.47170787354631</v>
      </c>
      <c r="E142" s="32">
        <v>66.429187822512404</v>
      </c>
      <c r="F142" s="32">
        <v>90.334397796142269</v>
      </c>
      <c r="G142" s="17"/>
      <c r="H142" s="17"/>
      <c r="I142" s="17"/>
      <c r="J142" s="17"/>
    </row>
    <row r="143" spans="3:10" x14ac:dyDescent="0.25">
      <c r="C143" s="31">
        <f t="shared" ca="1" si="14"/>
        <v>36.886020824268456</v>
      </c>
      <c r="D143" s="31">
        <f t="shared" ca="1" si="14"/>
        <v>109.96273788951828</v>
      </c>
      <c r="E143" s="32">
        <v>55.867029434361456</v>
      </c>
      <c r="F143" s="32">
        <v>115.65935629413021</v>
      </c>
      <c r="G143" s="17"/>
      <c r="H143" s="17"/>
      <c r="I143" s="17"/>
      <c r="J143" s="17"/>
    </row>
    <row r="144" spans="3:10" x14ac:dyDescent="0.25">
      <c r="C144" s="31">
        <f t="shared" ca="1" si="14"/>
        <v>49.722373130628945</v>
      </c>
      <c r="D144" s="31">
        <f t="shared" ca="1" si="14"/>
        <v>122.23978495087266</v>
      </c>
      <c r="E144" s="32">
        <v>62.405273766975768</v>
      </c>
      <c r="F144" s="32">
        <v>110.54799284655341</v>
      </c>
      <c r="G144" s="17"/>
      <c r="H144" s="17"/>
      <c r="I144" s="17"/>
      <c r="J144" s="17"/>
    </row>
    <row r="145" spans="3:10" x14ac:dyDescent="0.25">
      <c r="C145" s="31">
        <f t="shared" ca="1" si="14"/>
        <v>26.490515752713115</v>
      </c>
      <c r="D145" s="31">
        <f t="shared" ca="1" si="14"/>
        <v>84.552077538683335</v>
      </c>
      <c r="E145" s="32">
        <v>31.253963784586325</v>
      </c>
      <c r="F145" s="32">
        <v>104.22025550250183</v>
      </c>
      <c r="G145" s="17"/>
      <c r="H145" s="17"/>
      <c r="I145" s="17"/>
      <c r="J145" s="17"/>
    </row>
    <row r="146" spans="3:10" x14ac:dyDescent="0.25">
      <c r="C146" s="31">
        <f t="shared" ca="1" si="14"/>
        <v>74.5821127004875</v>
      </c>
      <c r="D146" s="31">
        <f t="shared" ca="1" si="14"/>
        <v>116.74299428400889</v>
      </c>
      <c r="E146" s="32">
        <v>42.704388434736735</v>
      </c>
      <c r="F146" s="32">
        <v>103.70445881416475</v>
      </c>
      <c r="G146" s="17"/>
      <c r="H146" s="17"/>
      <c r="I146" s="17"/>
      <c r="J146" s="17"/>
    </row>
    <row r="147" spans="3:10" x14ac:dyDescent="0.25">
      <c r="C147" s="31">
        <f t="shared" ca="1" si="14"/>
        <v>39.118438662146431</v>
      </c>
      <c r="D147" s="31">
        <f t="shared" ca="1" si="14"/>
        <v>139.52129572789164</v>
      </c>
      <c r="E147" s="32">
        <v>72.941032653417793</v>
      </c>
      <c r="F147" s="32">
        <v>127.23500473636182</v>
      </c>
      <c r="G147" s="17"/>
      <c r="H147" s="17"/>
      <c r="I147" s="17"/>
      <c r="J147" s="17"/>
    </row>
    <row r="148" spans="3:10" x14ac:dyDescent="0.25">
      <c r="C148" s="31">
        <f t="shared" ca="1" si="14"/>
        <v>47.458832732398442</v>
      </c>
      <c r="D148" s="31">
        <f t="shared" ca="1" si="14"/>
        <v>126.99552500520858</v>
      </c>
      <c r="E148" s="32">
        <v>68.126423808394421</v>
      </c>
      <c r="F148" s="32">
        <v>72.880177637243534</v>
      </c>
      <c r="G148" s="17"/>
      <c r="H148" s="17"/>
      <c r="I148" s="17"/>
      <c r="J148" s="17"/>
    </row>
    <row r="149" spans="3:10" x14ac:dyDescent="0.25">
      <c r="C149" s="31">
        <f t="shared" ca="1" si="14"/>
        <v>62.883187740224713</v>
      </c>
      <c r="D149" s="31">
        <f t="shared" ca="1" si="14"/>
        <v>102.35834872139105</v>
      </c>
      <c r="E149" s="32">
        <v>56.885765299121786</v>
      </c>
      <c r="F149" s="32">
        <v>99.622970292760414</v>
      </c>
      <c r="G149" s="17"/>
      <c r="H149" s="17"/>
      <c r="I149" s="17"/>
      <c r="J149" s="17"/>
    </row>
    <row r="150" spans="3:10" x14ac:dyDescent="0.25">
      <c r="C150" s="31">
        <f t="shared" ca="1" si="14"/>
        <v>47.548424932155342</v>
      </c>
      <c r="D150" s="31">
        <f t="shared" ca="1" si="14"/>
        <v>112.09065551319115</v>
      </c>
      <c r="E150" s="32">
        <v>71.028654816067359</v>
      </c>
      <c r="F150" s="32">
        <v>121.73305184322625</v>
      </c>
      <c r="G150" s="17"/>
      <c r="H150" s="17"/>
      <c r="I150" s="17"/>
      <c r="J150" s="17"/>
    </row>
    <row r="151" spans="3:10" x14ac:dyDescent="0.25">
      <c r="C151" s="31">
        <f t="shared" ca="1" si="14"/>
        <v>57.456213013034976</v>
      </c>
      <c r="D151" s="31">
        <f t="shared" ca="1" si="14"/>
        <v>95.303453553501882</v>
      </c>
      <c r="E151" s="32">
        <v>56.423024185981852</v>
      </c>
      <c r="F151" s="32">
        <v>96.248148837974753</v>
      </c>
      <c r="G151" s="17"/>
      <c r="H151" s="17"/>
      <c r="I151" s="17"/>
      <c r="J151" s="17"/>
    </row>
    <row r="152" spans="3:10" x14ac:dyDescent="0.25">
      <c r="C152" s="31">
        <f t="shared" ca="1" si="14"/>
        <v>51.839867897978394</v>
      </c>
      <c r="D152" s="31">
        <f t="shared" ca="1" si="14"/>
        <v>86.642675162566235</v>
      </c>
      <c r="E152" s="32">
        <v>37.192566721229845</v>
      </c>
      <c r="F152" s="32">
        <v>113.57617999361626</v>
      </c>
      <c r="G152" s="17"/>
      <c r="H152" s="17"/>
      <c r="I152" s="17"/>
      <c r="J152" s="17"/>
    </row>
    <row r="153" spans="3:10" x14ac:dyDescent="0.25">
      <c r="C153" s="31">
        <f t="shared" ca="1" si="14"/>
        <v>65.841743874666122</v>
      </c>
      <c r="D153" s="31">
        <f t="shared" ca="1" si="14"/>
        <v>120.98636120173582</v>
      </c>
      <c r="E153" s="32">
        <v>53.845412030157661</v>
      </c>
      <c r="F153" s="32">
        <v>113.48827990469491</v>
      </c>
      <c r="G153" s="17"/>
      <c r="H153" s="17"/>
      <c r="I153" s="17"/>
      <c r="J153" s="17"/>
    </row>
    <row r="154" spans="3:10" x14ac:dyDescent="0.25">
      <c r="C154" s="31">
        <f t="shared" ref="C154:D173" ca="1" si="15">_xlfn.NORM.INV(RAND(),C$4,C$5)</f>
        <v>75.014838662619511</v>
      </c>
      <c r="D154" s="31">
        <f t="shared" ca="1" si="15"/>
        <v>112.17886177222861</v>
      </c>
      <c r="E154" s="32">
        <v>47.268951902880019</v>
      </c>
      <c r="F154" s="32">
        <v>102.6105853469152</v>
      </c>
      <c r="G154" s="17"/>
      <c r="H154" s="17"/>
      <c r="I154" s="17"/>
      <c r="J154" s="17"/>
    </row>
    <row r="155" spans="3:10" x14ac:dyDescent="0.25">
      <c r="C155" s="31">
        <f t="shared" ca="1" si="15"/>
        <v>47.725400572826921</v>
      </c>
      <c r="D155" s="31">
        <f t="shared" ca="1" si="15"/>
        <v>81.168939145100467</v>
      </c>
      <c r="E155" s="32">
        <v>55.771260184446824</v>
      </c>
      <c r="F155" s="32">
        <v>84.612622853011445</v>
      </c>
      <c r="G155" s="17"/>
      <c r="H155" s="17"/>
      <c r="I155" s="17"/>
      <c r="J155" s="17"/>
    </row>
    <row r="156" spans="3:10" x14ac:dyDescent="0.25">
      <c r="C156" s="31">
        <f t="shared" ca="1" si="15"/>
        <v>62.388841687415763</v>
      </c>
      <c r="D156" s="31">
        <f t="shared" ca="1" si="15"/>
        <v>85.914843327628503</v>
      </c>
      <c r="E156" s="32">
        <v>90.002743663878249</v>
      </c>
      <c r="F156" s="32">
        <v>108.98955983113744</v>
      </c>
      <c r="G156" s="17"/>
      <c r="H156" s="17"/>
      <c r="I156" s="17"/>
      <c r="J156" s="17"/>
    </row>
    <row r="157" spans="3:10" x14ac:dyDescent="0.25">
      <c r="C157" s="31">
        <f t="shared" ca="1" si="15"/>
        <v>81.721541262148065</v>
      </c>
      <c r="D157" s="31">
        <f t="shared" ca="1" si="15"/>
        <v>110.89896801042269</v>
      </c>
      <c r="E157" s="32">
        <v>58.069350342447322</v>
      </c>
      <c r="F157" s="32">
        <v>134.7002206999029</v>
      </c>
      <c r="G157" s="17"/>
      <c r="H157" s="17"/>
      <c r="I157" s="17"/>
      <c r="J157" s="17"/>
    </row>
    <row r="158" spans="3:10" x14ac:dyDescent="0.25">
      <c r="C158" s="31">
        <f t="shared" ca="1" si="15"/>
        <v>29.232506629551828</v>
      </c>
      <c r="D158" s="31">
        <f t="shared" ca="1" si="15"/>
        <v>108.29771033441351</v>
      </c>
      <c r="E158" s="32">
        <v>68.373218215096159</v>
      </c>
      <c r="F158" s="32">
        <v>109.69489874502008</v>
      </c>
      <c r="G158" s="17"/>
      <c r="H158" s="17"/>
      <c r="I158" s="17"/>
      <c r="J158" s="17"/>
    </row>
    <row r="159" spans="3:10" x14ac:dyDescent="0.25">
      <c r="C159" s="31">
        <f t="shared" ca="1" si="15"/>
        <v>47.208037821493072</v>
      </c>
      <c r="D159" s="31">
        <f t="shared" ca="1" si="15"/>
        <v>115.33116810556334</v>
      </c>
      <c r="E159" s="32">
        <v>64.548209363596612</v>
      </c>
      <c r="F159" s="32">
        <v>111.53362972736831</v>
      </c>
      <c r="G159" s="17"/>
      <c r="H159" s="17"/>
      <c r="I159" s="17"/>
      <c r="J159" s="17"/>
    </row>
    <row r="160" spans="3:10" x14ac:dyDescent="0.25">
      <c r="C160" s="31">
        <f t="shared" ca="1" si="15"/>
        <v>64.207553721612143</v>
      </c>
      <c r="D160" s="31">
        <f t="shared" ca="1" si="15"/>
        <v>111.00885420954485</v>
      </c>
      <c r="E160" s="32">
        <v>49.144756878941095</v>
      </c>
      <c r="F160" s="32">
        <v>116.07070309345173</v>
      </c>
      <c r="G160" s="17"/>
      <c r="H160" s="17"/>
      <c r="I160" s="17"/>
      <c r="J160" s="17"/>
    </row>
    <row r="161" spans="3:10" x14ac:dyDescent="0.25">
      <c r="C161" s="31">
        <f t="shared" ca="1" si="15"/>
        <v>56.508480553837558</v>
      </c>
      <c r="D161" s="31">
        <f t="shared" ca="1" si="15"/>
        <v>121.39236449948639</v>
      </c>
      <c r="E161" s="32">
        <v>38.816386986766453</v>
      </c>
      <c r="F161" s="32">
        <v>116.43218106394832</v>
      </c>
      <c r="G161" s="17"/>
      <c r="H161" s="17"/>
      <c r="I161" s="17"/>
      <c r="J161" s="17"/>
    </row>
    <row r="162" spans="3:10" x14ac:dyDescent="0.25">
      <c r="C162" s="31">
        <f t="shared" ca="1" si="15"/>
        <v>18.319455008942182</v>
      </c>
      <c r="D162" s="31">
        <f t="shared" ca="1" si="15"/>
        <v>94.02121509042793</v>
      </c>
      <c r="E162" s="32">
        <v>46.942110979135855</v>
      </c>
      <c r="F162" s="32">
        <v>94.472332508782429</v>
      </c>
      <c r="G162" s="17"/>
      <c r="H162" s="17"/>
      <c r="I162" s="17"/>
      <c r="J162" s="17"/>
    </row>
    <row r="163" spans="3:10" x14ac:dyDescent="0.25">
      <c r="C163" s="31">
        <f t="shared" ca="1" si="15"/>
        <v>42.013716648536715</v>
      </c>
      <c r="D163" s="31">
        <f t="shared" ca="1" si="15"/>
        <v>92.242694260143452</v>
      </c>
      <c r="E163" s="32">
        <v>59.999538691872729</v>
      </c>
      <c r="F163" s="32">
        <v>116.78265331857091</v>
      </c>
      <c r="G163" s="17"/>
      <c r="H163" s="17"/>
      <c r="I163" s="17"/>
      <c r="J163" s="17"/>
    </row>
    <row r="164" spans="3:10" x14ac:dyDescent="0.25">
      <c r="C164" s="31">
        <f t="shared" ca="1" si="15"/>
        <v>46.885176460582265</v>
      </c>
      <c r="D164" s="31">
        <f t="shared" ca="1" si="15"/>
        <v>92.630918830857041</v>
      </c>
      <c r="E164" s="32">
        <v>51.625713218827762</v>
      </c>
      <c r="F164" s="32">
        <v>108.99635624723922</v>
      </c>
      <c r="G164" s="17"/>
      <c r="H164" s="17"/>
      <c r="I164" s="17"/>
      <c r="J164" s="17"/>
    </row>
    <row r="165" spans="3:10" x14ac:dyDescent="0.25">
      <c r="C165" s="31">
        <f t="shared" ca="1" si="15"/>
        <v>51.499920568480697</v>
      </c>
      <c r="D165" s="31">
        <f t="shared" ca="1" si="15"/>
        <v>110.49752341457047</v>
      </c>
      <c r="E165" s="32">
        <v>27.127101171271438</v>
      </c>
      <c r="F165" s="32">
        <v>128.90531303507913</v>
      </c>
      <c r="G165" s="17"/>
      <c r="H165" s="17"/>
      <c r="I165" s="17"/>
      <c r="J165" s="17"/>
    </row>
    <row r="166" spans="3:10" x14ac:dyDescent="0.25">
      <c r="C166" s="31">
        <f t="shared" ca="1" si="15"/>
        <v>24.653259204109691</v>
      </c>
      <c r="D166" s="31">
        <f t="shared" ca="1" si="15"/>
        <v>104.65556593508873</v>
      </c>
      <c r="E166" s="32">
        <v>43.767249953376194</v>
      </c>
      <c r="F166" s="32">
        <v>86.262122305064381</v>
      </c>
      <c r="G166" s="17"/>
      <c r="H166" s="17"/>
      <c r="I166" s="17"/>
      <c r="J166" s="17"/>
    </row>
    <row r="167" spans="3:10" x14ac:dyDescent="0.25">
      <c r="C167" s="31">
        <f t="shared" ca="1" si="15"/>
        <v>48.401876028511552</v>
      </c>
      <c r="D167" s="31">
        <f t="shared" ca="1" si="15"/>
        <v>88.853119716735677</v>
      </c>
      <c r="E167" s="32">
        <v>60.94252530156902</v>
      </c>
      <c r="F167" s="32">
        <v>96.413894278017665</v>
      </c>
      <c r="G167" s="17"/>
      <c r="H167" s="17"/>
      <c r="I167" s="17"/>
      <c r="J167" s="17"/>
    </row>
    <row r="168" spans="3:10" x14ac:dyDescent="0.25">
      <c r="C168" s="31">
        <f t="shared" ca="1" si="15"/>
        <v>33.510621351968126</v>
      </c>
      <c r="D168" s="31">
        <f t="shared" ca="1" si="15"/>
        <v>108.05468937697165</v>
      </c>
      <c r="E168" s="32">
        <v>27.711925597158075</v>
      </c>
      <c r="F168" s="32">
        <v>111.86947631433588</v>
      </c>
      <c r="G168" s="17"/>
      <c r="H168" s="17"/>
      <c r="I168" s="17"/>
      <c r="J168" s="17"/>
    </row>
    <row r="169" spans="3:10" x14ac:dyDescent="0.25">
      <c r="C169" s="31">
        <f t="shared" ca="1" si="15"/>
        <v>44.269345556097583</v>
      </c>
      <c r="D169" s="31">
        <f t="shared" ca="1" si="15"/>
        <v>113.24085662779834</v>
      </c>
      <c r="E169" s="32">
        <v>81.487765033594485</v>
      </c>
      <c r="F169" s="32">
        <v>113.42105473641803</v>
      </c>
      <c r="G169" s="17"/>
      <c r="H169" s="17"/>
      <c r="I169" s="17"/>
      <c r="J169" s="17"/>
    </row>
    <row r="170" spans="3:10" x14ac:dyDescent="0.25">
      <c r="C170" s="31">
        <f t="shared" ca="1" si="15"/>
        <v>46.390068591233323</v>
      </c>
      <c r="D170" s="31">
        <f t="shared" ca="1" si="15"/>
        <v>118.25626022648386</v>
      </c>
      <c r="E170" s="32">
        <v>43.188487588022809</v>
      </c>
      <c r="F170" s="32">
        <v>95.961279288809123</v>
      </c>
      <c r="G170" s="17"/>
      <c r="H170" s="17"/>
      <c r="I170" s="17"/>
      <c r="J170" s="17"/>
    </row>
    <row r="171" spans="3:10" x14ac:dyDescent="0.25">
      <c r="C171" s="31">
        <f t="shared" ca="1" si="15"/>
        <v>67.104684835396938</v>
      </c>
      <c r="D171" s="31">
        <f t="shared" ca="1" si="15"/>
        <v>105.92184870168339</v>
      </c>
      <c r="E171" s="32">
        <v>49.070041567713908</v>
      </c>
      <c r="F171" s="32">
        <v>90.085635495161526</v>
      </c>
      <c r="G171" s="17"/>
      <c r="H171" s="17"/>
      <c r="I171" s="17"/>
      <c r="J171" s="17"/>
    </row>
    <row r="172" spans="3:10" x14ac:dyDescent="0.25">
      <c r="C172" s="31">
        <f t="shared" ca="1" si="15"/>
        <v>61.388265238351849</v>
      </c>
      <c r="D172" s="31">
        <f t="shared" ca="1" si="15"/>
        <v>127.3948023270448</v>
      </c>
      <c r="E172" s="32">
        <v>66.628164345370024</v>
      </c>
      <c r="F172" s="32">
        <v>120.9394189749582</v>
      </c>
      <c r="G172" s="17"/>
      <c r="H172" s="17"/>
      <c r="I172" s="17"/>
      <c r="J172" s="17"/>
    </row>
    <row r="173" spans="3:10" x14ac:dyDescent="0.25">
      <c r="C173" s="31">
        <f t="shared" ca="1" si="15"/>
        <v>35.179543055868784</v>
      </c>
      <c r="D173" s="31">
        <f t="shared" ca="1" si="15"/>
        <v>99.299924262787655</v>
      </c>
      <c r="E173" s="32">
        <v>29.176673196354891</v>
      </c>
      <c r="F173" s="32">
        <v>120.17845218274151</v>
      </c>
      <c r="G173" s="17"/>
      <c r="H173" s="17"/>
      <c r="I173" s="17"/>
      <c r="J173" s="17"/>
    </row>
    <row r="174" spans="3:10" x14ac:dyDescent="0.25">
      <c r="C174" s="31">
        <f t="shared" ref="C174:D193" ca="1" si="16">_xlfn.NORM.INV(RAND(),C$4,C$5)</f>
        <v>57.658066331690513</v>
      </c>
      <c r="D174" s="31">
        <f t="shared" ca="1" si="16"/>
        <v>111.63671947095294</v>
      </c>
      <c r="E174" s="32">
        <v>34.340287707681412</v>
      </c>
      <c r="F174" s="32">
        <v>93.241474897807947</v>
      </c>
      <c r="G174" s="17"/>
      <c r="H174" s="17"/>
      <c r="I174" s="17"/>
      <c r="J174" s="17"/>
    </row>
    <row r="175" spans="3:10" x14ac:dyDescent="0.25">
      <c r="C175" s="31">
        <f t="shared" ca="1" si="16"/>
        <v>65.281961901098441</v>
      </c>
      <c r="D175" s="31">
        <f t="shared" ca="1" si="16"/>
        <v>105.49892126637305</v>
      </c>
      <c r="E175" s="32">
        <v>61.456018283335666</v>
      </c>
      <c r="F175" s="32">
        <v>121.65510214767468</v>
      </c>
      <c r="G175" s="17"/>
      <c r="H175" s="17"/>
      <c r="I175" s="17"/>
      <c r="J175" s="17"/>
    </row>
    <row r="176" spans="3:10" x14ac:dyDescent="0.25">
      <c r="C176" s="31">
        <f t="shared" ca="1" si="16"/>
        <v>54.039163492905708</v>
      </c>
      <c r="D176" s="31">
        <f t="shared" ca="1" si="16"/>
        <v>96.806323454950643</v>
      </c>
      <c r="E176" s="32">
        <v>45.517902777411706</v>
      </c>
      <c r="F176" s="32">
        <v>111.93121130010607</v>
      </c>
      <c r="G176" s="17"/>
      <c r="H176" s="17"/>
      <c r="I176" s="17"/>
      <c r="J176" s="17"/>
    </row>
    <row r="177" spans="3:10" x14ac:dyDescent="0.25">
      <c r="C177" s="31">
        <f t="shared" ca="1" si="16"/>
        <v>38.555411810230893</v>
      </c>
      <c r="D177" s="31">
        <f t="shared" ca="1" si="16"/>
        <v>86.815623167251871</v>
      </c>
      <c r="E177" s="32">
        <v>30.904291796974803</v>
      </c>
      <c r="F177" s="32">
        <v>110.4512097359875</v>
      </c>
      <c r="G177" s="17"/>
      <c r="H177" s="17"/>
      <c r="I177" s="17"/>
      <c r="J177" s="17"/>
    </row>
    <row r="178" spans="3:10" x14ac:dyDescent="0.25">
      <c r="C178" s="31">
        <f t="shared" ca="1" si="16"/>
        <v>63.560842108995175</v>
      </c>
      <c r="D178" s="31">
        <f t="shared" ca="1" si="16"/>
        <v>89.683315536102199</v>
      </c>
      <c r="E178" s="32">
        <v>37.536264719997192</v>
      </c>
      <c r="F178" s="32">
        <v>125.20049708918546</v>
      </c>
      <c r="G178" s="17"/>
      <c r="H178" s="17"/>
      <c r="I178" s="17"/>
      <c r="J178" s="17"/>
    </row>
    <row r="179" spans="3:10" x14ac:dyDescent="0.25">
      <c r="C179" s="31">
        <f t="shared" ca="1" si="16"/>
        <v>44.645694530535621</v>
      </c>
      <c r="D179" s="31">
        <f t="shared" ca="1" si="16"/>
        <v>98.238884961509555</v>
      </c>
      <c r="E179" s="32">
        <v>61.313929606835202</v>
      </c>
      <c r="F179" s="32">
        <v>81.809869505061513</v>
      </c>
      <c r="G179" s="17"/>
      <c r="H179" s="17"/>
      <c r="I179" s="17"/>
      <c r="J179" s="17"/>
    </row>
    <row r="180" spans="3:10" x14ac:dyDescent="0.25">
      <c r="C180" s="31">
        <f t="shared" ca="1" si="16"/>
        <v>16.753059228461566</v>
      </c>
      <c r="D180" s="31">
        <f t="shared" ca="1" si="16"/>
        <v>112.39116241893969</v>
      </c>
      <c r="E180" s="32">
        <v>47.862279876086745</v>
      </c>
      <c r="F180" s="32">
        <v>126.47326119618231</v>
      </c>
      <c r="G180" s="17"/>
      <c r="H180" s="17"/>
      <c r="I180" s="17"/>
      <c r="J180" s="17"/>
    </row>
    <row r="181" spans="3:10" x14ac:dyDescent="0.25">
      <c r="C181" s="31">
        <f t="shared" ca="1" si="16"/>
        <v>80.904112289184596</v>
      </c>
      <c r="D181" s="31">
        <f t="shared" ca="1" si="16"/>
        <v>106.79739031001485</v>
      </c>
      <c r="E181" s="32">
        <v>63.39396352677813</v>
      </c>
      <c r="F181" s="32">
        <v>104.972151378733</v>
      </c>
      <c r="G181" s="17"/>
      <c r="H181" s="17"/>
      <c r="I181" s="17"/>
      <c r="J181" s="17"/>
    </row>
    <row r="182" spans="3:10" x14ac:dyDescent="0.25">
      <c r="C182" s="31">
        <f t="shared" ca="1" si="16"/>
        <v>84.388601101134157</v>
      </c>
      <c r="D182" s="31">
        <f t="shared" ca="1" si="16"/>
        <v>109.25413686058323</v>
      </c>
      <c r="E182" s="32">
        <v>43.284211603379909</v>
      </c>
      <c r="F182" s="32">
        <v>91.036791156738374</v>
      </c>
      <c r="G182" s="17"/>
      <c r="H182" s="17"/>
      <c r="I182" s="17"/>
      <c r="J182" s="17"/>
    </row>
    <row r="183" spans="3:10" x14ac:dyDescent="0.25">
      <c r="C183" s="31">
        <f t="shared" ca="1" si="16"/>
        <v>22.193011299646784</v>
      </c>
      <c r="D183" s="31">
        <f t="shared" ca="1" si="16"/>
        <v>96.913863221464979</v>
      </c>
      <c r="E183" s="32">
        <v>60.91675435272488</v>
      </c>
      <c r="F183" s="32">
        <v>115.38529427519151</v>
      </c>
      <c r="G183" s="17"/>
      <c r="H183" s="17"/>
      <c r="I183" s="17"/>
      <c r="J183" s="17"/>
    </row>
    <row r="184" spans="3:10" x14ac:dyDescent="0.25">
      <c r="C184" s="31">
        <f t="shared" ca="1" si="16"/>
        <v>51.369613557171121</v>
      </c>
      <c r="D184" s="31">
        <f t="shared" ca="1" si="16"/>
        <v>128.36252884617414</v>
      </c>
      <c r="E184" s="32">
        <v>77.925038481672061</v>
      </c>
      <c r="F184" s="32">
        <v>91.266153688127133</v>
      </c>
      <c r="G184" s="17"/>
      <c r="H184" s="17"/>
      <c r="I184" s="17"/>
      <c r="J184" s="17"/>
    </row>
    <row r="185" spans="3:10" x14ac:dyDescent="0.25">
      <c r="C185" s="31">
        <f t="shared" ca="1" si="16"/>
        <v>51.433404799645096</v>
      </c>
      <c r="D185" s="31">
        <f t="shared" ca="1" si="16"/>
        <v>102.47696871221714</v>
      </c>
      <c r="E185" s="32">
        <v>15.098922296583176</v>
      </c>
      <c r="F185" s="32">
        <v>105.56943356873701</v>
      </c>
      <c r="G185" s="17"/>
      <c r="H185" s="17"/>
      <c r="I185" s="17"/>
      <c r="J185" s="17"/>
    </row>
    <row r="186" spans="3:10" x14ac:dyDescent="0.25">
      <c r="C186" s="31">
        <f t="shared" ca="1" si="16"/>
        <v>6.5551102764637221</v>
      </c>
      <c r="D186" s="31">
        <f t="shared" ca="1" si="16"/>
        <v>113.89436346385867</v>
      </c>
      <c r="E186" s="32">
        <v>54.939594753380852</v>
      </c>
      <c r="F186" s="32">
        <v>103.48843179754176</v>
      </c>
      <c r="G186" s="17"/>
      <c r="H186" s="17"/>
      <c r="I186" s="17"/>
      <c r="J186" s="17"/>
    </row>
    <row r="187" spans="3:10" x14ac:dyDescent="0.25">
      <c r="C187" s="31">
        <f t="shared" ca="1" si="16"/>
        <v>26.464086645969484</v>
      </c>
      <c r="D187" s="31">
        <f t="shared" ca="1" si="16"/>
        <v>114.90170311757132</v>
      </c>
      <c r="E187" s="32">
        <v>28.426035982673003</v>
      </c>
      <c r="F187" s="32">
        <v>105.35305724043445</v>
      </c>
      <c r="G187" s="17"/>
      <c r="H187" s="17"/>
      <c r="I187" s="17"/>
      <c r="J187" s="17"/>
    </row>
    <row r="188" spans="3:10" x14ac:dyDescent="0.25">
      <c r="C188" s="31">
        <f t="shared" ca="1" si="16"/>
        <v>45.884490143496592</v>
      </c>
      <c r="D188" s="31">
        <f t="shared" ca="1" si="16"/>
        <v>117.62042900816957</v>
      </c>
      <c r="E188" s="32">
        <v>78.688530875694326</v>
      </c>
      <c r="F188" s="32">
        <v>110.84917085253922</v>
      </c>
      <c r="G188" s="17"/>
      <c r="H188" s="17"/>
      <c r="I188" s="17"/>
      <c r="J188" s="17"/>
    </row>
    <row r="189" spans="3:10" x14ac:dyDescent="0.25">
      <c r="C189" s="31">
        <f t="shared" ca="1" si="16"/>
        <v>61.815999444676777</v>
      </c>
      <c r="D189" s="31">
        <f t="shared" ca="1" si="16"/>
        <v>117.33317005106194</v>
      </c>
      <c r="E189" s="32">
        <v>34.552817114951225</v>
      </c>
      <c r="F189" s="32">
        <v>130.25585240040752</v>
      </c>
      <c r="G189" s="17"/>
      <c r="H189" s="17"/>
      <c r="I189" s="17"/>
      <c r="J189" s="17"/>
    </row>
    <row r="190" spans="3:10" x14ac:dyDescent="0.25">
      <c r="C190" s="31">
        <f t="shared" ca="1" si="16"/>
        <v>60.652796872132612</v>
      </c>
      <c r="D190" s="31">
        <f t="shared" ca="1" si="16"/>
        <v>85.311411772191761</v>
      </c>
      <c r="E190" s="32">
        <v>71.540150363507465</v>
      </c>
      <c r="F190" s="32">
        <v>96.3411337422434</v>
      </c>
      <c r="G190" s="17"/>
      <c r="H190" s="17"/>
      <c r="I190" s="17"/>
      <c r="J190" s="17"/>
    </row>
    <row r="191" spans="3:10" x14ac:dyDescent="0.25">
      <c r="C191" s="31">
        <f t="shared" ca="1" si="16"/>
        <v>43.471502441032442</v>
      </c>
      <c r="D191" s="31">
        <f t="shared" ca="1" si="16"/>
        <v>119.24549508009105</v>
      </c>
      <c r="E191" s="32">
        <v>54.026087327204976</v>
      </c>
      <c r="F191" s="32">
        <v>122.47288070479593</v>
      </c>
      <c r="G191" s="17"/>
      <c r="H191" s="17"/>
      <c r="I191" s="17"/>
      <c r="J191" s="17"/>
    </row>
    <row r="192" spans="3:10" x14ac:dyDescent="0.25">
      <c r="C192" s="31">
        <f t="shared" ca="1" si="16"/>
        <v>62.017819871671016</v>
      </c>
      <c r="D192" s="31">
        <f t="shared" ca="1" si="16"/>
        <v>105.82789526799422</v>
      </c>
      <c r="E192" s="32">
        <v>60.789987083745217</v>
      </c>
      <c r="F192" s="32">
        <v>95.339735875990698</v>
      </c>
      <c r="G192" s="17"/>
      <c r="H192" s="17"/>
      <c r="I192" s="17"/>
      <c r="J192" s="17"/>
    </row>
    <row r="193" spans="3:10" x14ac:dyDescent="0.25">
      <c r="C193" s="31">
        <f t="shared" ca="1" si="16"/>
        <v>22.093886151977671</v>
      </c>
      <c r="D193" s="31">
        <f t="shared" ca="1" si="16"/>
        <v>107.07662821463029</v>
      </c>
      <c r="E193" s="32">
        <v>49.289632053279362</v>
      </c>
      <c r="F193" s="32">
        <v>129.83418897612827</v>
      </c>
      <c r="G193" s="17"/>
      <c r="H193" s="17"/>
      <c r="I193" s="17"/>
      <c r="J193" s="17"/>
    </row>
    <row r="194" spans="3:10" x14ac:dyDescent="0.25">
      <c r="C194" s="31">
        <f t="shared" ref="C194:D213" ca="1" si="17">_xlfn.NORM.INV(RAND(),C$4,C$5)</f>
        <v>70.275789303316614</v>
      </c>
      <c r="D194" s="31">
        <f t="shared" ca="1" si="17"/>
        <v>97.337041642321424</v>
      </c>
      <c r="E194" s="32">
        <v>93.476336908156043</v>
      </c>
      <c r="F194" s="32">
        <v>114.568033535399</v>
      </c>
      <c r="G194" s="17"/>
      <c r="H194" s="17"/>
      <c r="I194" s="17"/>
      <c r="J194" s="17"/>
    </row>
    <row r="195" spans="3:10" x14ac:dyDescent="0.25">
      <c r="C195" s="31">
        <f t="shared" ca="1" si="17"/>
        <v>52.856822293249458</v>
      </c>
      <c r="D195" s="31">
        <f t="shared" ca="1" si="17"/>
        <v>99.69411287599533</v>
      </c>
      <c r="E195" s="32">
        <v>24.639685854898573</v>
      </c>
      <c r="F195" s="32">
        <v>109.9385272930995</v>
      </c>
      <c r="G195" s="17"/>
      <c r="H195" s="17"/>
      <c r="I195" s="17"/>
      <c r="J195" s="17"/>
    </row>
    <row r="196" spans="3:10" x14ac:dyDescent="0.25">
      <c r="C196" s="31">
        <f t="shared" ca="1" si="17"/>
        <v>51.562697389265246</v>
      </c>
      <c r="D196" s="31">
        <f t="shared" ca="1" si="17"/>
        <v>92.817140203591634</v>
      </c>
      <c r="E196" s="32">
        <v>31.29896075237626</v>
      </c>
      <c r="F196" s="32">
        <v>96.411386557386436</v>
      </c>
      <c r="G196" s="17"/>
      <c r="H196" s="17"/>
      <c r="I196" s="17"/>
      <c r="J196" s="17"/>
    </row>
    <row r="197" spans="3:10" x14ac:dyDescent="0.25">
      <c r="C197" s="31">
        <f t="shared" ca="1" si="17"/>
        <v>17.710543114647805</v>
      </c>
      <c r="D197" s="31">
        <f t="shared" ca="1" si="17"/>
        <v>125.30962121912216</v>
      </c>
      <c r="E197" s="32">
        <v>35.43316692005277</v>
      </c>
      <c r="F197" s="32">
        <v>117.1266848209636</v>
      </c>
      <c r="G197" s="17"/>
      <c r="H197" s="17"/>
      <c r="I197" s="17"/>
      <c r="J197" s="17"/>
    </row>
    <row r="198" spans="3:10" x14ac:dyDescent="0.25">
      <c r="C198" s="31">
        <f t="shared" ca="1" si="17"/>
        <v>50.122664857625445</v>
      </c>
      <c r="D198" s="31">
        <f t="shared" ca="1" si="17"/>
        <v>106.84883013133788</v>
      </c>
      <c r="E198" s="32">
        <v>48.663565237194952</v>
      </c>
      <c r="F198" s="32">
        <v>125.16417820821118</v>
      </c>
      <c r="G198" s="17"/>
      <c r="H198" s="17"/>
      <c r="I198" s="17"/>
      <c r="J198" s="17"/>
    </row>
    <row r="199" spans="3:10" x14ac:dyDescent="0.25">
      <c r="C199" s="31">
        <f t="shared" ca="1" si="17"/>
        <v>70.427988824964473</v>
      </c>
      <c r="D199" s="31">
        <f t="shared" ca="1" si="17"/>
        <v>85.700863725949858</v>
      </c>
      <c r="E199" s="32">
        <v>48.323618181542109</v>
      </c>
      <c r="F199" s="32">
        <v>93.555782667261028</v>
      </c>
      <c r="G199" s="17"/>
      <c r="H199" s="17"/>
      <c r="I199" s="17"/>
      <c r="J199" s="17"/>
    </row>
    <row r="200" spans="3:10" x14ac:dyDescent="0.25">
      <c r="C200" s="31">
        <f t="shared" ca="1" si="17"/>
        <v>26.303437004912062</v>
      </c>
      <c r="D200" s="31">
        <f t="shared" ca="1" si="17"/>
        <v>113.76093946945468</v>
      </c>
      <c r="E200" s="32">
        <v>78.239863459634265</v>
      </c>
      <c r="F200" s="32">
        <v>110.26895071568781</v>
      </c>
      <c r="G200" s="17"/>
      <c r="H200" s="17"/>
      <c r="I200" s="17"/>
      <c r="J200" s="17"/>
    </row>
    <row r="201" spans="3:10" x14ac:dyDescent="0.25">
      <c r="C201" s="31">
        <f t="shared" ca="1" si="17"/>
        <v>101.27968872115846</v>
      </c>
      <c r="D201" s="31">
        <f t="shared" ca="1" si="17"/>
        <v>97.13380750712291</v>
      </c>
      <c r="E201" s="32">
        <v>5.7540804711541611</v>
      </c>
      <c r="F201" s="32">
        <v>104.48773271477751</v>
      </c>
      <c r="G201" s="17"/>
      <c r="H201" s="17"/>
      <c r="I201" s="17"/>
      <c r="J201" s="17"/>
    </row>
    <row r="202" spans="3:10" x14ac:dyDescent="0.25">
      <c r="C202" s="31">
        <f t="shared" ca="1" si="17"/>
        <v>84.472711730317542</v>
      </c>
      <c r="D202" s="31">
        <f t="shared" ca="1" si="17"/>
        <v>87.822177478922214</v>
      </c>
      <c r="E202" s="32">
        <v>61.05439042592387</v>
      </c>
      <c r="F202" s="32">
        <v>107.03322773315098</v>
      </c>
      <c r="G202" s="17"/>
      <c r="H202" s="17"/>
      <c r="I202" s="17"/>
      <c r="J202" s="17"/>
    </row>
    <row r="203" spans="3:10" x14ac:dyDescent="0.25">
      <c r="C203" s="31">
        <f t="shared" ca="1" si="17"/>
        <v>39.595157416253855</v>
      </c>
      <c r="D203" s="31">
        <f t="shared" ca="1" si="17"/>
        <v>104.71374901934317</v>
      </c>
      <c r="E203" s="32">
        <v>33.399780219156916</v>
      </c>
      <c r="F203" s="32">
        <v>119.73326330768141</v>
      </c>
      <c r="G203" s="17"/>
      <c r="H203" s="17"/>
      <c r="I203" s="17"/>
      <c r="J203" s="17"/>
    </row>
    <row r="204" spans="3:10" x14ac:dyDescent="0.25">
      <c r="C204" s="31">
        <f t="shared" ca="1" si="17"/>
        <v>47.96778867080404</v>
      </c>
      <c r="D204" s="31">
        <f t="shared" ca="1" si="17"/>
        <v>94.011104258651187</v>
      </c>
      <c r="E204" s="32">
        <v>24.967823794285803</v>
      </c>
      <c r="F204" s="32">
        <v>90.431577378097572</v>
      </c>
      <c r="G204" s="17"/>
      <c r="H204" s="17"/>
      <c r="I204" s="17"/>
      <c r="J204" s="17"/>
    </row>
    <row r="205" spans="3:10" x14ac:dyDescent="0.25">
      <c r="C205" s="31">
        <f t="shared" ca="1" si="17"/>
        <v>63.855352966784849</v>
      </c>
      <c r="D205" s="31">
        <f t="shared" ca="1" si="17"/>
        <v>94.664272662020196</v>
      </c>
      <c r="E205" s="32">
        <v>46.397912087267578</v>
      </c>
      <c r="F205" s="32">
        <v>117.97973958866626</v>
      </c>
      <c r="G205" s="17"/>
      <c r="H205" s="17"/>
      <c r="I205" s="17"/>
      <c r="J205" s="17"/>
    </row>
    <row r="206" spans="3:10" x14ac:dyDescent="0.25">
      <c r="C206" s="31">
        <f t="shared" ca="1" si="17"/>
        <v>71.138326454312406</v>
      </c>
      <c r="D206" s="31">
        <f t="shared" ca="1" si="17"/>
        <v>120.9971590096401</v>
      </c>
      <c r="E206" s="32">
        <v>48.587601041020555</v>
      </c>
      <c r="F206" s="32">
        <v>121.07755324758685</v>
      </c>
      <c r="G206" s="17"/>
      <c r="H206" s="17"/>
      <c r="I206" s="17"/>
      <c r="J206" s="17"/>
    </row>
    <row r="207" spans="3:10" x14ac:dyDescent="0.25">
      <c r="C207" s="31">
        <f t="shared" ca="1" si="17"/>
        <v>41.6271648385978</v>
      </c>
      <c r="D207" s="31">
        <f t="shared" ca="1" si="17"/>
        <v>101.53976278706534</v>
      </c>
      <c r="E207" s="32">
        <v>54.185027053355874</v>
      </c>
      <c r="F207" s="32">
        <v>82.755742157945718</v>
      </c>
      <c r="G207" s="17"/>
      <c r="H207" s="17"/>
      <c r="I207" s="17"/>
      <c r="J207" s="17"/>
    </row>
    <row r="208" spans="3:10" x14ac:dyDescent="0.25">
      <c r="C208" s="31">
        <f t="shared" ca="1" si="17"/>
        <v>75.350074967014379</v>
      </c>
      <c r="D208" s="31">
        <f t="shared" ca="1" si="17"/>
        <v>97.807074511036319</v>
      </c>
      <c r="E208" s="32">
        <v>50.58289618219122</v>
      </c>
      <c r="F208" s="32">
        <v>121.04198644934543</v>
      </c>
      <c r="G208" s="17"/>
      <c r="H208" s="17"/>
      <c r="I208" s="17"/>
      <c r="J208" s="17"/>
    </row>
    <row r="209" spans="3:10" x14ac:dyDescent="0.25">
      <c r="C209" s="31">
        <f t="shared" ca="1" si="17"/>
        <v>69.461484466794843</v>
      </c>
      <c r="D209" s="31">
        <f t="shared" ca="1" si="17"/>
        <v>125.75868609235462</v>
      </c>
      <c r="E209" s="32">
        <v>60.824204914487183</v>
      </c>
      <c r="F209" s="32">
        <v>101.56790961198058</v>
      </c>
      <c r="G209" s="17"/>
      <c r="H209" s="17"/>
      <c r="I209" s="17"/>
      <c r="J209" s="17"/>
    </row>
    <row r="210" spans="3:10" x14ac:dyDescent="0.25">
      <c r="C210" s="31">
        <f t="shared" ca="1" si="17"/>
        <v>59.982055182943995</v>
      </c>
      <c r="D210" s="31">
        <f t="shared" ca="1" si="17"/>
        <v>112.68129673794512</v>
      </c>
      <c r="E210" s="32">
        <v>43.807919523831778</v>
      </c>
      <c r="F210" s="32">
        <v>130.59830165939297</v>
      </c>
      <c r="G210" s="17"/>
      <c r="H210" s="17"/>
      <c r="I210" s="17"/>
      <c r="J210" s="17"/>
    </row>
    <row r="211" spans="3:10" x14ac:dyDescent="0.25">
      <c r="C211" s="31">
        <f t="shared" ca="1" si="17"/>
        <v>44.258579711824844</v>
      </c>
      <c r="D211" s="31">
        <f t="shared" ca="1" si="17"/>
        <v>90.877115968300444</v>
      </c>
      <c r="E211" s="32">
        <v>53.549271820319554</v>
      </c>
      <c r="F211" s="32">
        <v>98.088679141434667</v>
      </c>
      <c r="G211" s="17"/>
      <c r="H211" s="17"/>
      <c r="I211" s="17"/>
      <c r="J211" s="17"/>
    </row>
    <row r="212" spans="3:10" x14ac:dyDescent="0.25">
      <c r="C212" s="31">
        <f t="shared" ca="1" si="17"/>
        <v>45.129671589425989</v>
      </c>
      <c r="D212" s="31">
        <f t="shared" ca="1" si="17"/>
        <v>96.652729657029028</v>
      </c>
      <c r="E212" s="32">
        <v>42.393455844413474</v>
      </c>
      <c r="F212" s="32">
        <v>96.437932251972882</v>
      </c>
      <c r="G212" s="17"/>
      <c r="H212" s="17"/>
      <c r="I212" s="17"/>
      <c r="J212" s="17"/>
    </row>
    <row r="213" spans="3:10" x14ac:dyDescent="0.25">
      <c r="C213" s="31">
        <f t="shared" ca="1" si="17"/>
        <v>81.396929830161881</v>
      </c>
      <c r="D213" s="31">
        <f t="shared" ca="1" si="17"/>
        <v>112.49913620096858</v>
      </c>
      <c r="E213" s="32">
        <v>44.582160446644629</v>
      </c>
      <c r="F213" s="32">
        <v>104.07277710489694</v>
      </c>
      <c r="G213" s="17"/>
      <c r="H213" s="17"/>
      <c r="I213" s="17"/>
      <c r="J213" s="17"/>
    </row>
    <row r="214" spans="3:10" x14ac:dyDescent="0.25">
      <c r="C214" s="31">
        <f t="shared" ref="C214:D233" ca="1" si="18">_xlfn.NORM.INV(RAND(),C$4,C$5)</f>
        <v>39.882904316965359</v>
      </c>
      <c r="D214" s="31">
        <f t="shared" ca="1" si="18"/>
        <v>93.883961105368272</v>
      </c>
      <c r="E214" s="32">
        <v>66.042177806449956</v>
      </c>
      <c r="F214" s="32">
        <v>109.27379975423169</v>
      </c>
      <c r="G214" s="17"/>
      <c r="H214" s="17"/>
      <c r="I214" s="17"/>
      <c r="J214" s="17"/>
    </row>
    <row r="215" spans="3:10" x14ac:dyDescent="0.25">
      <c r="C215" s="31">
        <f t="shared" ca="1" si="18"/>
        <v>31.189572480293052</v>
      </c>
      <c r="D215" s="31">
        <f t="shared" ca="1" si="18"/>
        <v>114.97805717692087</v>
      </c>
      <c r="E215" s="32">
        <v>40.660945482876961</v>
      </c>
      <c r="F215" s="32">
        <v>124.71303274505364</v>
      </c>
      <c r="G215" s="17"/>
      <c r="H215" s="17"/>
      <c r="I215" s="17"/>
      <c r="J215" s="17"/>
    </row>
    <row r="216" spans="3:10" x14ac:dyDescent="0.25">
      <c r="C216" s="31">
        <f t="shared" ca="1" si="18"/>
        <v>46.686871354367099</v>
      </c>
      <c r="D216" s="31">
        <f t="shared" ca="1" si="18"/>
        <v>113.85727379887658</v>
      </c>
      <c r="E216" s="32">
        <v>33.414326422242411</v>
      </c>
      <c r="F216" s="32">
        <v>95.643533660412729</v>
      </c>
      <c r="G216" s="17"/>
      <c r="H216" s="17"/>
      <c r="I216" s="17"/>
      <c r="J216" s="17"/>
    </row>
    <row r="217" spans="3:10" x14ac:dyDescent="0.25">
      <c r="C217" s="31">
        <f t="shared" ca="1" si="18"/>
        <v>37.10668188389505</v>
      </c>
      <c r="D217" s="31">
        <f t="shared" ca="1" si="18"/>
        <v>106.96530248885317</v>
      </c>
      <c r="E217" s="32">
        <v>31.637953746358235</v>
      </c>
      <c r="F217" s="32">
        <v>128.10886940623953</v>
      </c>
      <c r="G217" s="17"/>
      <c r="H217" s="17"/>
      <c r="I217" s="17"/>
      <c r="J217" s="17"/>
    </row>
    <row r="218" spans="3:10" x14ac:dyDescent="0.25">
      <c r="C218" s="31">
        <f t="shared" ca="1" si="18"/>
        <v>59.458259165193795</v>
      </c>
      <c r="D218" s="31">
        <f t="shared" ca="1" si="18"/>
        <v>105.35225125158976</v>
      </c>
      <c r="E218" s="32">
        <v>52.053006158834371</v>
      </c>
      <c r="F218" s="32">
        <v>120.03375597164869</v>
      </c>
      <c r="G218" s="17"/>
      <c r="H218" s="17"/>
      <c r="I218" s="17"/>
      <c r="J218" s="17"/>
    </row>
    <row r="219" spans="3:10" x14ac:dyDescent="0.25">
      <c r="C219" s="31">
        <f t="shared" ca="1" si="18"/>
        <v>16.386755864066359</v>
      </c>
      <c r="D219" s="31">
        <f t="shared" ca="1" si="18"/>
        <v>86.208945517068003</v>
      </c>
      <c r="E219" s="32">
        <v>79.426004733529822</v>
      </c>
      <c r="F219" s="32">
        <v>84.885879677790783</v>
      </c>
      <c r="G219" s="17"/>
      <c r="H219" s="17"/>
      <c r="I219" s="17"/>
      <c r="J219" s="17"/>
    </row>
    <row r="220" spans="3:10" x14ac:dyDescent="0.25">
      <c r="C220" s="31">
        <f t="shared" ca="1" si="18"/>
        <v>32.097861135949977</v>
      </c>
      <c r="D220" s="31">
        <f t="shared" ca="1" si="18"/>
        <v>117.92337232766103</v>
      </c>
      <c r="E220" s="32">
        <v>40.948328994585495</v>
      </c>
      <c r="F220" s="32">
        <v>113.59168562026568</v>
      </c>
      <c r="G220" s="17"/>
      <c r="H220" s="17"/>
      <c r="I220" s="17"/>
      <c r="J220" s="17"/>
    </row>
    <row r="221" spans="3:10" x14ac:dyDescent="0.25">
      <c r="C221" s="31">
        <f t="shared" ca="1" si="18"/>
        <v>51.417031411665945</v>
      </c>
      <c r="D221" s="31">
        <f t="shared" ca="1" si="18"/>
        <v>100.74081579789289</v>
      </c>
      <c r="E221" s="32">
        <v>51.839207359952766</v>
      </c>
      <c r="F221" s="32">
        <v>111.4325272722148</v>
      </c>
      <c r="G221" s="17"/>
      <c r="H221" s="17"/>
      <c r="I221" s="17"/>
      <c r="J221" s="17"/>
    </row>
    <row r="222" spans="3:10" x14ac:dyDescent="0.25">
      <c r="C222" s="31">
        <f t="shared" ca="1" si="18"/>
        <v>73.968497762076552</v>
      </c>
      <c r="D222" s="31">
        <f t="shared" ca="1" si="18"/>
        <v>107.52548558909837</v>
      </c>
      <c r="E222" s="32">
        <v>39.682213964753075</v>
      </c>
      <c r="F222" s="32">
        <v>95.457752079967435</v>
      </c>
      <c r="G222" s="17"/>
      <c r="H222" s="17"/>
      <c r="I222" s="17"/>
      <c r="J222" s="17"/>
    </row>
    <row r="223" spans="3:10" x14ac:dyDescent="0.25">
      <c r="C223" s="31">
        <f t="shared" ca="1" si="18"/>
        <v>55.187733576036919</v>
      </c>
      <c r="D223" s="31">
        <f t="shared" ca="1" si="18"/>
        <v>103.86147467931966</v>
      </c>
      <c r="E223" s="32">
        <v>14.607448765655683</v>
      </c>
      <c r="F223" s="32">
        <v>118.99560114623199</v>
      </c>
      <c r="G223" s="17"/>
      <c r="H223" s="17"/>
      <c r="I223" s="17"/>
      <c r="J223" s="17"/>
    </row>
    <row r="224" spans="3:10" x14ac:dyDescent="0.25">
      <c r="C224" s="31">
        <f t="shared" ca="1" si="18"/>
        <v>68.896898602836984</v>
      </c>
      <c r="D224" s="31">
        <f t="shared" ca="1" si="18"/>
        <v>100.34659214510796</v>
      </c>
      <c r="E224" s="32">
        <v>42.874713110481899</v>
      </c>
      <c r="F224" s="32">
        <v>114.16102362392716</v>
      </c>
      <c r="G224" s="17"/>
      <c r="H224" s="17"/>
      <c r="I224" s="17"/>
      <c r="J224" s="17"/>
    </row>
    <row r="225" spans="3:10" x14ac:dyDescent="0.25">
      <c r="C225" s="31">
        <f t="shared" ca="1" si="18"/>
        <v>24.515059316519803</v>
      </c>
      <c r="D225" s="31">
        <f t="shared" ca="1" si="18"/>
        <v>112.41046004323604</v>
      </c>
      <c r="E225" s="32">
        <v>68.349253490340203</v>
      </c>
      <c r="F225" s="32">
        <v>125.4146605697693</v>
      </c>
      <c r="G225" s="17"/>
      <c r="H225" s="17"/>
      <c r="I225" s="17"/>
      <c r="J225" s="17"/>
    </row>
    <row r="226" spans="3:10" x14ac:dyDescent="0.25">
      <c r="C226" s="31">
        <f t="shared" ca="1" si="18"/>
        <v>66.689445305930406</v>
      </c>
      <c r="D226" s="31">
        <f t="shared" ca="1" si="18"/>
        <v>104.70030963303201</v>
      </c>
      <c r="E226" s="32">
        <v>53.699595823904012</v>
      </c>
      <c r="F226" s="32">
        <v>122.38143363983941</v>
      </c>
      <c r="G226" s="17"/>
      <c r="H226" s="17"/>
      <c r="I226" s="17"/>
      <c r="J226" s="17"/>
    </row>
    <row r="227" spans="3:10" x14ac:dyDescent="0.25">
      <c r="C227" s="31">
        <f t="shared" ca="1" si="18"/>
        <v>54.706291093345548</v>
      </c>
      <c r="D227" s="31">
        <f t="shared" ca="1" si="18"/>
        <v>126.65396522022836</v>
      </c>
      <c r="E227" s="32">
        <v>42.12221189748621</v>
      </c>
      <c r="F227" s="32">
        <v>118.53467399164867</v>
      </c>
      <c r="G227" s="17"/>
      <c r="H227" s="17"/>
      <c r="I227" s="17"/>
      <c r="J227" s="17"/>
    </row>
    <row r="228" spans="3:10" x14ac:dyDescent="0.25">
      <c r="C228" s="31">
        <f t="shared" ca="1" si="18"/>
        <v>62.005550431688661</v>
      </c>
      <c r="D228" s="31">
        <f t="shared" ca="1" si="18"/>
        <v>102.84471208665255</v>
      </c>
      <c r="E228" s="32">
        <v>22.201740361156759</v>
      </c>
      <c r="F228" s="32">
        <v>121.55691158720106</v>
      </c>
      <c r="G228" s="17"/>
      <c r="H228" s="17"/>
      <c r="I228" s="17"/>
      <c r="J228" s="17"/>
    </row>
    <row r="229" spans="3:10" x14ac:dyDescent="0.25">
      <c r="C229" s="31">
        <f t="shared" ca="1" si="18"/>
        <v>19.691971428512581</v>
      </c>
      <c r="D229" s="31">
        <f t="shared" ca="1" si="18"/>
        <v>110.07130189048776</v>
      </c>
      <c r="E229" s="32">
        <v>36.307450961980244</v>
      </c>
      <c r="F229" s="32">
        <v>101.4882323117839</v>
      </c>
      <c r="G229" s="17"/>
      <c r="H229" s="17"/>
      <c r="I229" s="17"/>
      <c r="J229" s="17"/>
    </row>
    <row r="230" spans="3:10" x14ac:dyDescent="0.25">
      <c r="C230" s="31">
        <f t="shared" ca="1" si="18"/>
        <v>105.55585305032037</v>
      </c>
      <c r="D230" s="31">
        <f t="shared" ca="1" si="18"/>
        <v>118.54947864100077</v>
      </c>
      <c r="E230" s="32">
        <v>35.127142011764285</v>
      </c>
      <c r="F230" s="32">
        <v>90.353053235213963</v>
      </c>
      <c r="G230" s="17"/>
      <c r="H230" s="17"/>
      <c r="I230" s="17"/>
      <c r="J230" s="17"/>
    </row>
    <row r="231" spans="3:10" x14ac:dyDescent="0.25">
      <c r="C231" s="31">
        <f t="shared" ca="1" si="18"/>
        <v>64.280808373080916</v>
      </c>
      <c r="D231" s="31">
        <f t="shared" ca="1" si="18"/>
        <v>126.36772331829563</v>
      </c>
      <c r="E231" s="32">
        <v>31.924126261545101</v>
      </c>
      <c r="F231" s="32">
        <v>74.447516947448605</v>
      </c>
      <c r="G231" s="17"/>
      <c r="H231" s="17"/>
      <c r="I231" s="17"/>
      <c r="J231" s="17"/>
    </row>
    <row r="232" spans="3:10" x14ac:dyDescent="0.25">
      <c r="C232" s="31">
        <f t="shared" ca="1" si="18"/>
        <v>31.651816370019898</v>
      </c>
      <c r="D232" s="31">
        <f t="shared" ca="1" si="18"/>
        <v>88.514678700290119</v>
      </c>
      <c r="E232" s="32">
        <v>24.866565912096625</v>
      </c>
      <c r="F232" s="32">
        <v>125.51961251535505</v>
      </c>
      <c r="G232" s="17"/>
      <c r="H232" s="17"/>
      <c r="I232" s="17"/>
      <c r="J232" s="17"/>
    </row>
    <row r="233" spans="3:10" x14ac:dyDescent="0.25">
      <c r="C233" s="31">
        <f t="shared" ca="1" si="18"/>
        <v>63.752051441211698</v>
      </c>
      <c r="D233" s="31">
        <f t="shared" ca="1" si="18"/>
        <v>127.3097831093112</v>
      </c>
      <c r="E233" s="32">
        <v>66.244435274059612</v>
      </c>
      <c r="F233" s="32">
        <v>119.46027144562507</v>
      </c>
      <c r="G233" s="17"/>
      <c r="H233" s="17"/>
      <c r="I233" s="17"/>
      <c r="J233" s="17"/>
    </row>
    <row r="234" spans="3:10" x14ac:dyDescent="0.25">
      <c r="C234" s="31">
        <f t="shared" ref="C234:D253" ca="1" si="19">_xlfn.NORM.INV(RAND(),C$4,C$5)</f>
        <v>67.89779312394819</v>
      </c>
      <c r="D234" s="31">
        <f t="shared" ca="1" si="19"/>
        <v>121.76403234775267</v>
      </c>
      <c r="E234" s="32">
        <v>33.936848262169633</v>
      </c>
      <c r="F234" s="32">
        <v>114.66280020710359</v>
      </c>
      <c r="G234" s="17"/>
      <c r="H234" s="17"/>
      <c r="I234" s="17"/>
      <c r="J234" s="17"/>
    </row>
    <row r="235" spans="3:10" x14ac:dyDescent="0.25">
      <c r="C235" s="31">
        <f t="shared" ca="1" si="19"/>
        <v>53.267649074539548</v>
      </c>
      <c r="D235" s="31">
        <f t="shared" ca="1" si="19"/>
        <v>90.743425968817036</v>
      </c>
      <c r="E235" s="32">
        <v>80.283017851138482</v>
      </c>
      <c r="F235" s="32">
        <v>117.59689606911029</v>
      </c>
      <c r="G235" s="17"/>
      <c r="H235" s="17"/>
      <c r="I235" s="17"/>
      <c r="J235" s="17"/>
    </row>
    <row r="236" spans="3:10" x14ac:dyDescent="0.25">
      <c r="C236" s="31">
        <f t="shared" ca="1" si="19"/>
        <v>42.009776267881762</v>
      </c>
      <c r="D236" s="31">
        <f t="shared" ca="1" si="19"/>
        <v>101.61954641517652</v>
      </c>
      <c r="E236" s="32">
        <v>36.685638899618262</v>
      </c>
      <c r="F236" s="32">
        <v>91.103732233378992</v>
      </c>
      <c r="G236" s="17"/>
      <c r="H236" s="17"/>
      <c r="I236" s="17"/>
      <c r="J236" s="17"/>
    </row>
    <row r="237" spans="3:10" x14ac:dyDescent="0.25">
      <c r="C237" s="31">
        <f t="shared" ca="1" si="19"/>
        <v>67.21882918576506</v>
      </c>
      <c r="D237" s="31">
        <f t="shared" ca="1" si="19"/>
        <v>110.61043907974822</v>
      </c>
      <c r="E237" s="32">
        <v>78.691586472971551</v>
      </c>
      <c r="F237" s="32">
        <v>86.264776929277915</v>
      </c>
      <c r="G237" s="17"/>
      <c r="H237" s="17"/>
      <c r="I237" s="17"/>
      <c r="J237" s="17"/>
    </row>
    <row r="238" spans="3:10" x14ac:dyDescent="0.25">
      <c r="C238" s="31">
        <f t="shared" ca="1" si="19"/>
        <v>91.085612649037103</v>
      </c>
      <c r="D238" s="31">
        <f t="shared" ca="1" si="19"/>
        <v>112.03308818226623</v>
      </c>
      <c r="E238" s="32">
        <v>50.642881298278844</v>
      </c>
      <c r="F238" s="32">
        <v>120.38649717468638</v>
      </c>
      <c r="G238" s="17"/>
      <c r="H238" s="17"/>
      <c r="I238" s="17"/>
      <c r="J238" s="17"/>
    </row>
    <row r="239" spans="3:10" x14ac:dyDescent="0.25">
      <c r="C239" s="31">
        <f t="shared" ca="1" si="19"/>
        <v>79.817522439230743</v>
      </c>
      <c r="D239" s="31">
        <f t="shared" ca="1" si="19"/>
        <v>113.73068694056595</v>
      </c>
      <c r="E239" s="32">
        <v>56.000501581874225</v>
      </c>
      <c r="F239" s="32">
        <v>101.94648043300541</v>
      </c>
      <c r="G239" s="17"/>
      <c r="H239" s="17"/>
      <c r="I239" s="17"/>
      <c r="J239" s="17"/>
    </row>
    <row r="240" spans="3:10" x14ac:dyDescent="0.25">
      <c r="C240" s="31">
        <f t="shared" ca="1" si="19"/>
        <v>42.286653266957494</v>
      </c>
      <c r="D240" s="31">
        <f t="shared" ca="1" si="19"/>
        <v>128.01629840778594</v>
      </c>
      <c r="E240" s="32">
        <v>43.929023724117002</v>
      </c>
      <c r="F240" s="32">
        <v>109.1964189073278</v>
      </c>
      <c r="G240" s="17"/>
      <c r="H240" s="17"/>
      <c r="I240" s="17"/>
      <c r="J240" s="17"/>
    </row>
    <row r="241" spans="3:10" x14ac:dyDescent="0.25">
      <c r="C241" s="31">
        <f t="shared" ca="1" si="19"/>
        <v>76.472420537253043</v>
      </c>
      <c r="D241" s="31">
        <f t="shared" ca="1" si="19"/>
        <v>74.347760336833403</v>
      </c>
      <c r="E241" s="32">
        <v>68.100657333565977</v>
      </c>
      <c r="F241" s="32">
        <v>113.26500461946662</v>
      </c>
      <c r="G241" s="17"/>
      <c r="H241" s="17"/>
      <c r="I241" s="17"/>
      <c r="J241" s="17"/>
    </row>
    <row r="242" spans="3:10" x14ac:dyDescent="0.25">
      <c r="C242" s="31">
        <f t="shared" ca="1" si="19"/>
        <v>59.5529125292407</v>
      </c>
      <c r="D242" s="31">
        <f t="shared" ca="1" si="19"/>
        <v>126.12458729721753</v>
      </c>
      <c r="E242" s="32">
        <v>70.219972838882512</v>
      </c>
      <c r="F242" s="32">
        <v>89.469273387508167</v>
      </c>
      <c r="G242" s="17"/>
      <c r="H242" s="17"/>
      <c r="I242" s="17"/>
      <c r="J242" s="17"/>
    </row>
    <row r="243" spans="3:10" x14ac:dyDescent="0.25">
      <c r="C243" s="31">
        <f t="shared" ca="1" si="19"/>
        <v>29.91851875699999</v>
      </c>
      <c r="D243" s="31">
        <f t="shared" ca="1" si="19"/>
        <v>119.0056208701946</v>
      </c>
      <c r="E243" s="32">
        <v>41.937410894015628</v>
      </c>
      <c r="F243" s="32">
        <v>98.263143242908797</v>
      </c>
      <c r="G243" s="17"/>
      <c r="H243" s="17"/>
      <c r="I243" s="17"/>
      <c r="J243" s="17"/>
    </row>
    <row r="244" spans="3:10" x14ac:dyDescent="0.25">
      <c r="C244" s="31">
        <f t="shared" ca="1" si="19"/>
        <v>31.933811367782038</v>
      </c>
      <c r="D244" s="31">
        <f t="shared" ca="1" si="19"/>
        <v>119.65925485063788</v>
      </c>
      <c r="E244" s="32">
        <v>36.373863136604854</v>
      </c>
      <c r="F244" s="32">
        <v>112.72042339592711</v>
      </c>
      <c r="G244" s="17"/>
      <c r="H244" s="17"/>
      <c r="I244" s="17"/>
      <c r="J244" s="17"/>
    </row>
    <row r="245" spans="3:10" x14ac:dyDescent="0.25">
      <c r="C245" s="31">
        <f t="shared" ca="1" si="19"/>
        <v>44.600625948791695</v>
      </c>
      <c r="D245" s="31">
        <f t="shared" ca="1" si="19"/>
        <v>91.727652726016942</v>
      </c>
      <c r="E245" s="32">
        <v>34.087590117559017</v>
      </c>
      <c r="F245" s="32">
        <v>98.868949330143892</v>
      </c>
      <c r="G245" s="17"/>
      <c r="H245" s="17"/>
      <c r="I245" s="17"/>
      <c r="J245" s="17"/>
    </row>
    <row r="246" spans="3:10" x14ac:dyDescent="0.25">
      <c r="C246" s="31">
        <f t="shared" ca="1" si="19"/>
        <v>49.518056684335768</v>
      </c>
      <c r="D246" s="31">
        <f t="shared" ca="1" si="19"/>
        <v>105.42846388776734</v>
      </c>
      <c r="E246" s="32">
        <v>52.769597379134325</v>
      </c>
      <c r="F246" s="32">
        <v>111.14031507008828</v>
      </c>
      <c r="G246" s="17"/>
      <c r="H246" s="17"/>
      <c r="I246" s="17"/>
      <c r="J246" s="17"/>
    </row>
    <row r="247" spans="3:10" x14ac:dyDescent="0.25">
      <c r="C247" s="31">
        <f t="shared" ca="1" si="19"/>
        <v>50.513875933947936</v>
      </c>
      <c r="D247" s="31">
        <f t="shared" ca="1" si="19"/>
        <v>117.00625863962826</v>
      </c>
      <c r="E247" s="32">
        <v>71.576763958742177</v>
      </c>
      <c r="F247" s="32">
        <v>106.53298101958167</v>
      </c>
      <c r="G247" s="17"/>
      <c r="H247" s="17"/>
      <c r="I247" s="17"/>
      <c r="J247" s="17"/>
    </row>
    <row r="248" spans="3:10" x14ac:dyDescent="0.25">
      <c r="C248" s="31">
        <f t="shared" ca="1" si="19"/>
        <v>52.169235802573823</v>
      </c>
      <c r="D248" s="31">
        <f t="shared" ca="1" si="19"/>
        <v>107.67925756757006</v>
      </c>
      <c r="E248" s="32">
        <v>70.256221155962791</v>
      </c>
      <c r="F248" s="32">
        <v>122.21124649470369</v>
      </c>
      <c r="G248" s="17"/>
      <c r="H248" s="17"/>
      <c r="I248" s="17"/>
      <c r="J248" s="17"/>
    </row>
    <row r="249" spans="3:10" x14ac:dyDescent="0.25">
      <c r="C249" s="31">
        <f t="shared" ca="1" si="19"/>
        <v>76.367132167459872</v>
      </c>
      <c r="D249" s="31">
        <f t="shared" ca="1" si="19"/>
        <v>130.72369110255426</v>
      </c>
      <c r="E249" s="32">
        <v>39.476066112873887</v>
      </c>
      <c r="F249" s="32">
        <v>122.03339984933559</v>
      </c>
      <c r="G249" s="17"/>
      <c r="H249" s="17"/>
      <c r="I249" s="17"/>
      <c r="J249" s="17"/>
    </row>
    <row r="250" spans="3:10" x14ac:dyDescent="0.25">
      <c r="C250" s="31">
        <f t="shared" ca="1" si="19"/>
        <v>39.814619515580375</v>
      </c>
      <c r="D250" s="31">
        <f t="shared" ca="1" si="19"/>
        <v>87.954284800692577</v>
      </c>
      <c r="E250" s="32">
        <v>52.605897444171681</v>
      </c>
      <c r="F250" s="32">
        <v>125.41716375171936</v>
      </c>
      <c r="G250" s="17"/>
      <c r="H250" s="17"/>
      <c r="I250" s="17"/>
      <c r="J250" s="17"/>
    </row>
    <row r="251" spans="3:10" x14ac:dyDescent="0.25">
      <c r="C251" s="31">
        <f t="shared" ca="1" si="19"/>
        <v>51.98103501137961</v>
      </c>
      <c r="D251" s="31">
        <f t="shared" ca="1" si="19"/>
        <v>104.99092797235748</v>
      </c>
      <c r="E251" s="32">
        <v>64.89087825437953</v>
      </c>
      <c r="F251" s="32">
        <v>109.28896325894475</v>
      </c>
      <c r="G251" s="17"/>
      <c r="H251" s="17"/>
      <c r="I251" s="17"/>
      <c r="J251" s="17"/>
    </row>
    <row r="252" spans="3:10" x14ac:dyDescent="0.25">
      <c r="C252" s="31">
        <f t="shared" ca="1" si="19"/>
        <v>61.564712711048543</v>
      </c>
      <c r="D252" s="31">
        <f t="shared" ca="1" si="19"/>
        <v>106.49771723773041</v>
      </c>
      <c r="E252" s="32">
        <v>54.207044674926081</v>
      </c>
      <c r="F252" s="32">
        <v>121.60037102913154</v>
      </c>
      <c r="G252" s="17"/>
      <c r="H252" s="17"/>
      <c r="I252" s="17"/>
      <c r="J252" s="17"/>
    </row>
    <row r="253" spans="3:10" x14ac:dyDescent="0.25">
      <c r="C253" s="31">
        <f t="shared" ca="1" si="19"/>
        <v>64.335861564445679</v>
      </c>
      <c r="D253" s="31">
        <f t="shared" ca="1" si="19"/>
        <v>102.59791359795963</v>
      </c>
      <c r="E253" s="32">
        <v>52.521557519170777</v>
      </c>
      <c r="F253" s="32">
        <v>115.46581705485949</v>
      </c>
      <c r="G253" s="17"/>
      <c r="H253" s="17"/>
      <c r="I253" s="17"/>
      <c r="J253" s="17"/>
    </row>
    <row r="254" spans="3:10" x14ac:dyDescent="0.25">
      <c r="C254" s="31">
        <f t="shared" ref="C254:D273" ca="1" si="20">_xlfn.NORM.INV(RAND(),C$4,C$5)</f>
        <v>57.751635370558034</v>
      </c>
      <c r="D254" s="31">
        <f t="shared" ca="1" si="20"/>
        <v>119.96785092652482</v>
      </c>
      <c r="E254" s="32">
        <v>40.328700707064833</v>
      </c>
      <c r="F254" s="32">
        <v>88.637483699853234</v>
      </c>
      <c r="G254" s="17"/>
      <c r="H254" s="17"/>
      <c r="I254" s="17"/>
      <c r="J254" s="17"/>
    </row>
    <row r="255" spans="3:10" x14ac:dyDescent="0.25">
      <c r="C255" s="31">
        <f t="shared" ca="1" si="20"/>
        <v>77.832327596409868</v>
      </c>
      <c r="D255" s="31">
        <f t="shared" ca="1" si="20"/>
        <v>91.864085997866326</v>
      </c>
      <c r="E255" s="32">
        <v>43.693641264119321</v>
      </c>
      <c r="F255" s="32">
        <v>105.63539358625171</v>
      </c>
      <c r="G255" s="17"/>
      <c r="H255" s="17"/>
      <c r="I255" s="17"/>
      <c r="J255" s="17"/>
    </row>
    <row r="256" spans="3:10" x14ac:dyDescent="0.25">
      <c r="C256" s="31">
        <f t="shared" ca="1" si="20"/>
        <v>71.85882080577376</v>
      </c>
      <c r="D256" s="31">
        <f t="shared" ca="1" si="20"/>
        <v>106.98059189101552</v>
      </c>
      <c r="E256" s="32">
        <v>46.521234585199373</v>
      </c>
      <c r="F256" s="32">
        <v>110.10231785588216</v>
      </c>
      <c r="G256" s="17"/>
      <c r="H256" s="17"/>
      <c r="I256" s="17"/>
      <c r="J256" s="17"/>
    </row>
    <row r="257" spans="3:10" x14ac:dyDescent="0.25">
      <c r="C257" s="31">
        <f t="shared" ca="1" si="20"/>
        <v>69.172676729207609</v>
      </c>
      <c r="D257" s="31">
        <f t="shared" ca="1" si="20"/>
        <v>115.05577305327401</v>
      </c>
      <c r="E257" s="32">
        <v>62.464080417204904</v>
      </c>
      <c r="F257" s="32">
        <v>101.58361583500677</v>
      </c>
      <c r="G257" s="17"/>
      <c r="H257" s="17"/>
      <c r="I257" s="17"/>
      <c r="J257" s="17"/>
    </row>
    <row r="258" spans="3:10" x14ac:dyDescent="0.25">
      <c r="C258" s="31">
        <f t="shared" ca="1" si="20"/>
        <v>21.261565315747394</v>
      </c>
      <c r="D258" s="31">
        <f t="shared" ca="1" si="20"/>
        <v>106.19045695876062</v>
      </c>
      <c r="E258" s="32">
        <v>55.977634151158931</v>
      </c>
      <c r="F258" s="32">
        <v>107.65244152522205</v>
      </c>
      <c r="G258" s="17"/>
      <c r="H258" s="17"/>
      <c r="I258" s="17"/>
      <c r="J258" s="17"/>
    </row>
    <row r="259" spans="3:10" x14ac:dyDescent="0.25">
      <c r="C259" s="31">
        <f t="shared" ca="1" si="20"/>
        <v>48.271618532909606</v>
      </c>
      <c r="D259" s="31">
        <f t="shared" ca="1" si="20"/>
        <v>135.07194646731534</v>
      </c>
      <c r="E259" s="32">
        <v>38.46088677340321</v>
      </c>
      <c r="F259" s="32">
        <v>144.77569291680749</v>
      </c>
      <c r="G259" s="17"/>
      <c r="H259" s="17"/>
      <c r="I259" s="17"/>
      <c r="J259" s="17"/>
    </row>
    <row r="260" spans="3:10" x14ac:dyDescent="0.25">
      <c r="C260" s="31">
        <f t="shared" ca="1" si="20"/>
        <v>19.565421128837748</v>
      </c>
      <c r="D260" s="31">
        <f t="shared" ca="1" si="20"/>
        <v>128.34943858508839</v>
      </c>
      <c r="E260" s="32">
        <v>61.463418154807826</v>
      </c>
      <c r="F260" s="32">
        <v>130.02984288459021</v>
      </c>
      <c r="G260" s="17"/>
      <c r="H260" s="17"/>
      <c r="I260" s="17"/>
      <c r="J260" s="17"/>
    </row>
    <row r="261" spans="3:10" x14ac:dyDescent="0.25">
      <c r="C261" s="31">
        <f t="shared" ca="1" si="20"/>
        <v>64.365115525095717</v>
      </c>
      <c r="D261" s="31">
        <f t="shared" ca="1" si="20"/>
        <v>137.19114419700827</v>
      </c>
      <c r="E261" s="32">
        <v>60.080861214148506</v>
      </c>
      <c r="F261" s="32">
        <v>118.51936815555663</v>
      </c>
      <c r="G261" s="17"/>
      <c r="H261" s="17"/>
      <c r="I261" s="17"/>
      <c r="J261" s="17"/>
    </row>
    <row r="262" spans="3:10" x14ac:dyDescent="0.25">
      <c r="C262" s="31">
        <f t="shared" ca="1" si="20"/>
        <v>36.190408011884912</v>
      </c>
      <c r="D262" s="31">
        <f t="shared" ca="1" si="20"/>
        <v>118.76533996178181</v>
      </c>
      <c r="E262" s="32">
        <v>41.491353612626334</v>
      </c>
      <c r="F262" s="32">
        <v>120.26920070821024</v>
      </c>
      <c r="G262" s="17"/>
      <c r="H262" s="17"/>
      <c r="I262" s="17"/>
      <c r="J262" s="17"/>
    </row>
    <row r="263" spans="3:10" x14ac:dyDescent="0.25">
      <c r="C263" s="31">
        <f t="shared" ca="1" si="20"/>
        <v>63.418630086006701</v>
      </c>
      <c r="D263" s="31">
        <f t="shared" ca="1" si="20"/>
        <v>117.84300770426218</v>
      </c>
      <c r="E263" s="32">
        <v>32.527791517653029</v>
      </c>
      <c r="F263" s="32">
        <v>132.58824824702151</v>
      </c>
      <c r="G263" s="17"/>
      <c r="H263" s="17"/>
      <c r="I263" s="17"/>
      <c r="J263" s="17"/>
    </row>
    <row r="264" spans="3:10" x14ac:dyDescent="0.25">
      <c r="C264" s="31">
        <f t="shared" ca="1" si="20"/>
        <v>43.302500784465948</v>
      </c>
      <c r="D264" s="31">
        <f t="shared" ca="1" si="20"/>
        <v>127.1460837361239</v>
      </c>
      <c r="E264" s="32">
        <v>31.727513767044851</v>
      </c>
      <c r="F264" s="32">
        <v>119.64151290138734</v>
      </c>
      <c r="G264" s="17"/>
      <c r="H264" s="17"/>
      <c r="I264" s="17"/>
      <c r="J264" s="17"/>
    </row>
    <row r="265" spans="3:10" x14ac:dyDescent="0.25">
      <c r="C265" s="31">
        <f t="shared" ca="1" si="20"/>
        <v>29.110388114965321</v>
      </c>
      <c r="D265" s="31">
        <f t="shared" ca="1" si="20"/>
        <v>113.23826094072653</v>
      </c>
      <c r="E265" s="32">
        <v>59.338749444338724</v>
      </c>
      <c r="F265" s="32">
        <v>108.66859722023023</v>
      </c>
      <c r="G265" s="17"/>
      <c r="H265" s="17"/>
      <c r="I265" s="17"/>
      <c r="J265" s="17"/>
    </row>
    <row r="266" spans="3:10" x14ac:dyDescent="0.25">
      <c r="C266" s="31">
        <f t="shared" ca="1" si="20"/>
        <v>64.917451653525475</v>
      </c>
      <c r="D266" s="31">
        <f t="shared" ca="1" si="20"/>
        <v>80.793591328726592</v>
      </c>
      <c r="E266" s="32">
        <v>44.001524716046326</v>
      </c>
      <c r="F266" s="32">
        <v>99.513227548608114</v>
      </c>
      <c r="G266" s="17"/>
      <c r="H266" s="17"/>
      <c r="I266" s="17"/>
      <c r="J266" s="17"/>
    </row>
    <row r="267" spans="3:10" x14ac:dyDescent="0.25">
      <c r="C267" s="31">
        <f t="shared" ca="1" si="20"/>
        <v>63.798292677617624</v>
      </c>
      <c r="D267" s="31">
        <f t="shared" ca="1" si="20"/>
        <v>114.47266907261057</v>
      </c>
      <c r="E267" s="32">
        <v>48.542016809198437</v>
      </c>
      <c r="F267" s="32">
        <v>130.88203932115118</v>
      </c>
      <c r="G267" s="17"/>
      <c r="H267" s="17"/>
      <c r="I267" s="17"/>
      <c r="J267" s="17"/>
    </row>
    <row r="268" spans="3:10" x14ac:dyDescent="0.25">
      <c r="C268" s="31">
        <f t="shared" ca="1" si="20"/>
        <v>61.801358977209702</v>
      </c>
      <c r="D268" s="31">
        <f t="shared" ca="1" si="20"/>
        <v>125.59274299072733</v>
      </c>
      <c r="E268" s="32">
        <v>47.530081866535625</v>
      </c>
      <c r="F268" s="32">
        <v>102.00268922705419</v>
      </c>
      <c r="G268" s="17"/>
      <c r="H268" s="17"/>
      <c r="I268" s="17"/>
      <c r="J268" s="17"/>
    </row>
    <row r="269" spans="3:10" x14ac:dyDescent="0.25">
      <c r="C269" s="31">
        <f t="shared" ca="1" si="20"/>
        <v>53.262425970332657</v>
      </c>
      <c r="D269" s="31">
        <f t="shared" ca="1" si="20"/>
        <v>125.80498299542955</v>
      </c>
      <c r="E269" s="32">
        <v>64.465066465032962</v>
      </c>
      <c r="F269" s="32">
        <v>99.25841732578526</v>
      </c>
      <c r="G269" s="17"/>
      <c r="H269" s="17"/>
      <c r="I269" s="17"/>
      <c r="J269" s="17"/>
    </row>
    <row r="270" spans="3:10" x14ac:dyDescent="0.25">
      <c r="C270" s="31">
        <f t="shared" ca="1" si="20"/>
        <v>37.569316235449165</v>
      </c>
      <c r="D270" s="31">
        <f t="shared" ca="1" si="20"/>
        <v>104.16370192353585</v>
      </c>
      <c r="E270" s="32">
        <v>32.61766284403155</v>
      </c>
      <c r="F270" s="32">
        <v>110.8372375314076</v>
      </c>
      <c r="G270" s="17"/>
      <c r="H270" s="17"/>
      <c r="I270" s="17"/>
      <c r="J270" s="17"/>
    </row>
    <row r="271" spans="3:10" x14ac:dyDescent="0.25">
      <c r="C271" s="31">
        <f t="shared" ca="1" si="20"/>
        <v>70.469528163949263</v>
      </c>
      <c r="D271" s="31">
        <f t="shared" ca="1" si="20"/>
        <v>89.553259480314665</v>
      </c>
      <c r="E271" s="32">
        <v>68.186362894946626</v>
      </c>
      <c r="F271" s="32">
        <v>103.36543632385732</v>
      </c>
      <c r="G271" s="17"/>
      <c r="H271" s="17"/>
      <c r="I271" s="17"/>
      <c r="J271" s="17"/>
    </row>
    <row r="272" spans="3:10" x14ac:dyDescent="0.25">
      <c r="C272" s="31">
        <f t="shared" ca="1" si="20"/>
        <v>72.221192211163071</v>
      </c>
      <c r="D272" s="31">
        <f t="shared" ca="1" si="20"/>
        <v>100.09292362233766</v>
      </c>
      <c r="E272" s="32">
        <v>20.874686727842967</v>
      </c>
      <c r="F272" s="32">
        <v>115.1561347214832</v>
      </c>
      <c r="G272" s="17"/>
      <c r="H272" s="17"/>
      <c r="I272" s="17"/>
      <c r="J272" s="17"/>
    </row>
    <row r="273" spans="3:10" x14ac:dyDescent="0.25">
      <c r="C273" s="31">
        <f t="shared" ca="1" si="20"/>
        <v>74.895967618436913</v>
      </c>
      <c r="D273" s="31">
        <f t="shared" ca="1" si="20"/>
        <v>93.879697466842444</v>
      </c>
      <c r="E273" s="32">
        <v>64.226959343724715</v>
      </c>
      <c r="F273" s="32">
        <v>101.7900138153025</v>
      </c>
      <c r="G273" s="17"/>
      <c r="H273" s="17"/>
      <c r="I273" s="17"/>
      <c r="J273" s="17"/>
    </row>
    <row r="274" spans="3:10" x14ac:dyDescent="0.25">
      <c r="C274" s="31">
        <f t="shared" ref="C274:D293" ca="1" si="21">_xlfn.NORM.INV(RAND(),C$4,C$5)</f>
        <v>44.074190713364999</v>
      </c>
      <c r="D274" s="31">
        <f t="shared" ca="1" si="21"/>
        <v>123.87954533817786</v>
      </c>
      <c r="E274" s="32">
        <v>51.155797283147606</v>
      </c>
      <c r="F274" s="32">
        <v>102.52397002894514</v>
      </c>
      <c r="G274" s="17"/>
      <c r="H274" s="17"/>
      <c r="I274" s="17"/>
      <c r="J274" s="17"/>
    </row>
    <row r="275" spans="3:10" x14ac:dyDescent="0.25">
      <c r="C275" s="31">
        <f t="shared" ca="1" si="21"/>
        <v>20.33643238474729</v>
      </c>
      <c r="D275" s="31">
        <f t="shared" ca="1" si="21"/>
        <v>104.28211864046916</v>
      </c>
      <c r="E275" s="32">
        <v>47.286227140510981</v>
      </c>
      <c r="F275" s="32">
        <v>111.18722909379488</v>
      </c>
      <c r="G275" s="17"/>
      <c r="H275" s="17"/>
      <c r="I275" s="17"/>
      <c r="J275" s="17"/>
    </row>
    <row r="276" spans="3:10" x14ac:dyDescent="0.25">
      <c r="C276" s="31">
        <f t="shared" ca="1" si="21"/>
        <v>50.005048124284961</v>
      </c>
      <c r="D276" s="31">
        <f t="shared" ca="1" si="21"/>
        <v>88.43591722835977</v>
      </c>
      <c r="E276" s="32">
        <v>40.723113534758859</v>
      </c>
      <c r="F276" s="32">
        <v>108.5614418613907</v>
      </c>
      <c r="G276" s="17"/>
      <c r="H276" s="17"/>
      <c r="I276" s="17"/>
      <c r="J276" s="17"/>
    </row>
    <row r="277" spans="3:10" x14ac:dyDescent="0.25">
      <c r="C277" s="31">
        <f t="shared" ca="1" si="21"/>
        <v>42.652196552720099</v>
      </c>
      <c r="D277" s="31">
        <f t="shared" ca="1" si="21"/>
        <v>101.80222608027918</v>
      </c>
      <c r="E277" s="32">
        <v>39.600846886969862</v>
      </c>
      <c r="F277" s="32">
        <v>115.95481762891512</v>
      </c>
      <c r="G277" s="17"/>
      <c r="H277" s="17"/>
      <c r="I277" s="17"/>
      <c r="J277" s="17"/>
    </row>
    <row r="278" spans="3:10" x14ac:dyDescent="0.25">
      <c r="C278" s="31">
        <f t="shared" ca="1" si="21"/>
        <v>52.496646407938485</v>
      </c>
      <c r="D278" s="31">
        <f t="shared" ca="1" si="21"/>
        <v>112.32107909691332</v>
      </c>
      <c r="E278" s="32">
        <v>-2.6829047923233418</v>
      </c>
      <c r="F278" s="32">
        <v>98.228404452664037</v>
      </c>
      <c r="G278" s="17"/>
      <c r="H278" s="17"/>
      <c r="I278" s="17"/>
      <c r="J278" s="17"/>
    </row>
    <row r="279" spans="3:10" x14ac:dyDescent="0.25">
      <c r="C279" s="31">
        <f t="shared" ca="1" si="21"/>
        <v>72.868434254098986</v>
      </c>
      <c r="D279" s="31">
        <f t="shared" ca="1" si="21"/>
        <v>101.12225626114602</v>
      </c>
      <c r="E279" s="32">
        <v>57.314600068003955</v>
      </c>
      <c r="F279" s="32">
        <v>124.31115182046956</v>
      </c>
      <c r="G279" s="17"/>
      <c r="H279" s="17"/>
      <c r="I279" s="17"/>
      <c r="J279" s="17"/>
    </row>
    <row r="280" spans="3:10" x14ac:dyDescent="0.25">
      <c r="C280" s="31">
        <f t="shared" ca="1" si="21"/>
        <v>51.456673972564843</v>
      </c>
      <c r="D280" s="31">
        <f t="shared" ca="1" si="21"/>
        <v>104.0135838562816</v>
      </c>
      <c r="E280" s="32">
        <v>48.633210327244782</v>
      </c>
      <c r="F280" s="32">
        <v>146.67116502983851</v>
      </c>
      <c r="G280" s="17"/>
      <c r="H280" s="17"/>
      <c r="I280" s="17"/>
      <c r="J280" s="17"/>
    </row>
    <row r="281" spans="3:10" x14ac:dyDescent="0.25">
      <c r="C281" s="31">
        <f t="shared" ca="1" si="21"/>
        <v>49.542002174883045</v>
      </c>
      <c r="D281" s="31">
        <f t="shared" ca="1" si="21"/>
        <v>104.30143777627316</v>
      </c>
      <c r="E281" s="32">
        <v>19.718283251845243</v>
      </c>
      <c r="F281" s="32">
        <v>96.928296588740963</v>
      </c>
      <c r="G281" s="17"/>
      <c r="H281" s="17"/>
      <c r="I281" s="17"/>
      <c r="J281" s="17"/>
    </row>
    <row r="282" spans="3:10" x14ac:dyDescent="0.25">
      <c r="C282" s="31">
        <f t="shared" ca="1" si="21"/>
        <v>28.510426458329206</v>
      </c>
      <c r="D282" s="31">
        <f t="shared" ca="1" si="21"/>
        <v>99.905291006332092</v>
      </c>
      <c r="E282" s="32">
        <v>72.174536149178039</v>
      </c>
      <c r="F282" s="32">
        <v>110.89213649854256</v>
      </c>
      <c r="G282" s="17"/>
      <c r="H282" s="17"/>
      <c r="I282" s="17"/>
      <c r="J282" s="17"/>
    </row>
    <row r="283" spans="3:10" x14ac:dyDescent="0.25">
      <c r="C283" s="31">
        <f t="shared" ca="1" si="21"/>
        <v>50.776290091139558</v>
      </c>
      <c r="D283" s="31">
        <f t="shared" ca="1" si="21"/>
        <v>101.32032266346604</v>
      </c>
      <c r="E283" s="32">
        <v>67.174004642903412</v>
      </c>
      <c r="F283" s="32">
        <v>102.82765819492306</v>
      </c>
      <c r="G283" s="17"/>
      <c r="H283" s="17"/>
      <c r="I283" s="17"/>
      <c r="J283" s="17"/>
    </row>
    <row r="284" spans="3:10" x14ac:dyDescent="0.25">
      <c r="C284" s="31">
        <f t="shared" ca="1" si="21"/>
        <v>67.244834188246941</v>
      </c>
      <c r="D284" s="31">
        <f t="shared" ca="1" si="21"/>
        <v>124.83971532771376</v>
      </c>
      <c r="E284" s="32">
        <v>63.859222246290585</v>
      </c>
      <c r="F284" s="32">
        <v>133.06961813919312</v>
      </c>
      <c r="G284" s="17"/>
      <c r="H284" s="17"/>
      <c r="I284" s="17"/>
      <c r="J284" s="17"/>
    </row>
    <row r="285" spans="3:10" x14ac:dyDescent="0.25">
      <c r="C285" s="31">
        <f t="shared" ca="1" si="21"/>
        <v>64.747684163962234</v>
      </c>
      <c r="D285" s="31">
        <f t="shared" ca="1" si="21"/>
        <v>126.7836551225879</v>
      </c>
      <c r="E285" s="32">
        <v>23.484747855807633</v>
      </c>
      <c r="F285" s="32">
        <v>108.72388448308388</v>
      </c>
      <c r="G285" s="17"/>
      <c r="H285" s="17"/>
      <c r="I285" s="17"/>
      <c r="J285" s="17"/>
    </row>
    <row r="286" spans="3:10" x14ac:dyDescent="0.25">
      <c r="C286" s="31">
        <f t="shared" ca="1" si="21"/>
        <v>48.966965472448152</v>
      </c>
      <c r="D286" s="31">
        <f t="shared" ca="1" si="21"/>
        <v>115.10683107182875</v>
      </c>
      <c r="E286" s="32">
        <v>62.81104263861473</v>
      </c>
      <c r="F286" s="32">
        <v>107.47671402365846</v>
      </c>
      <c r="G286" s="17"/>
      <c r="H286" s="17"/>
      <c r="I286" s="17"/>
      <c r="J286" s="17"/>
    </row>
    <row r="287" spans="3:10" x14ac:dyDescent="0.25">
      <c r="C287" s="31">
        <f t="shared" ca="1" si="21"/>
        <v>47.883208237628921</v>
      </c>
      <c r="D287" s="31">
        <f t="shared" ca="1" si="21"/>
        <v>125.60746448153049</v>
      </c>
      <c r="E287" s="32">
        <v>72.565786357325067</v>
      </c>
      <c r="F287" s="32">
        <v>98.493798918382694</v>
      </c>
      <c r="G287" s="17"/>
      <c r="H287" s="17"/>
      <c r="I287" s="17"/>
      <c r="J287" s="17"/>
    </row>
    <row r="288" spans="3:10" x14ac:dyDescent="0.25">
      <c r="C288" s="31">
        <f t="shared" ca="1" si="21"/>
        <v>22.258327132827826</v>
      </c>
      <c r="D288" s="31">
        <f t="shared" ca="1" si="21"/>
        <v>108.90385802465521</v>
      </c>
      <c r="E288" s="32">
        <v>44.532424691300776</v>
      </c>
      <c r="F288" s="32">
        <v>117.99279640832604</v>
      </c>
      <c r="G288" s="17"/>
      <c r="H288" s="17"/>
      <c r="I288" s="17"/>
      <c r="J288" s="17"/>
    </row>
    <row r="289" spans="3:10" x14ac:dyDescent="0.25">
      <c r="C289" s="31">
        <f t="shared" ca="1" si="21"/>
        <v>28.943058073805275</v>
      </c>
      <c r="D289" s="31">
        <f t="shared" ca="1" si="21"/>
        <v>115.05004194892061</v>
      </c>
      <c r="E289" s="32">
        <v>44.227352607614478</v>
      </c>
      <c r="F289" s="32">
        <v>110.60506944160578</v>
      </c>
      <c r="G289" s="17"/>
      <c r="H289" s="17"/>
      <c r="I289" s="17"/>
      <c r="J289" s="17"/>
    </row>
    <row r="290" spans="3:10" x14ac:dyDescent="0.25">
      <c r="C290" s="31">
        <f t="shared" ca="1" si="21"/>
        <v>57.474048408038378</v>
      </c>
      <c r="D290" s="31">
        <f t="shared" ca="1" si="21"/>
        <v>101.61427967257151</v>
      </c>
      <c r="E290" s="32">
        <v>28.772397218248557</v>
      </c>
      <c r="F290" s="32">
        <v>103.88071641098165</v>
      </c>
      <c r="G290" s="17"/>
      <c r="H290" s="17"/>
      <c r="I290" s="17"/>
      <c r="J290" s="17"/>
    </row>
    <row r="291" spans="3:10" x14ac:dyDescent="0.25">
      <c r="C291" s="31">
        <f t="shared" ca="1" si="21"/>
        <v>47.626098953912056</v>
      </c>
      <c r="D291" s="31">
        <f t="shared" ca="1" si="21"/>
        <v>124.41475014018874</v>
      </c>
      <c r="E291" s="32">
        <v>28.944233949950494</v>
      </c>
      <c r="F291" s="32">
        <v>90.490266874050576</v>
      </c>
      <c r="G291" s="17"/>
      <c r="H291" s="17"/>
      <c r="I291" s="17"/>
      <c r="J291" s="17"/>
    </row>
    <row r="292" spans="3:10" x14ac:dyDescent="0.25">
      <c r="C292" s="31">
        <f t="shared" ca="1" si="21"/>
        <v>74.964305209281861</v>
      </c>
      <c r="D292" s="31">
        <f t="shared" ca="1" si="21"/>
        <v>95.646295268513313</v>
      </c>
      <c r="E292" s="32">
        <v>41.095964593308423</v>
      </c>
      <c r="F292" s="32">
        <v>114.14232258928486</v>
      </c>
      <c r="G292" s="17"/>
      <c r="H292" s="17"/>
      <c r="I292" s="17"/>
      <c r="J292" s="17"/>
    </row>
    <row r="293" spans="3:10" x14ac:dyDescent="0.25">
      <c r="C293" s="31">
        <f t="shared" ca="1" si="21"/>
        <v>30.099139583441033</v>
      </c>
      <c r="D293" s="31">
        <f t="shared" ca="1" si="21"/>
        <v>130.21438650056953</v>
      </c>
      <c r="E293" s="32">
        <v>37.860014721677352</v>
      </c>
      <c r="F293" s="32">
        <v>116.31069819499675</v>
      </c>
      <c r="G293" s="17"/>
      <c r="H293" s="17"/>
      <c r="I293" s="17"/>
      <c r="J293" s="17"/>
    </row>
    <row r="294" spans="3:10" x14ac:dyDescent="0.25">
      <c r="C294" s="31">
        <f t="shared" ref="C294:D313" ca="1" si="22">_xlfn.NORM.INV(RAND(),C$4,C$5)</f>
        <v>66.80279721516527</v>
      </c>
      <c r="D294" s="31">
        <f t="shared" ca="1" si="22"/>
        <v>124.26108806035802</v>
      </c>
      <c r="E294" s="32">
        <v>56.963893771642063</v>
      </c>
      <c r="F294" s="32">
        <v>108.52744555146043</v>
      </c>
      <c r="G294" s="17"/>
      <c r="H294" s="17"/>
      <c r="I294" s="17"/>
      <c r="J294" s="17"/>
    </row>
    <row r="295" spans="3:10" x14ac:dyDescent="0.25">
      <c r="C295" s="31">
        <f t="shared" ca="1" si="22"/>
        <v>53.914561194322452</v>
      </c>
      <c r="D295" s="31">
        <f t="shared" ca="1" si="22"/>
        <v>107.97052330142685</v>
      </c>
      <c r="E295" s="32">
        <v>79.119097721727542</v>
      </c>
      <c r="F295" s="32">
        <v>114.26056110159081</v>
      </c>
      <c r="G295" s="17"/>
      <c r="H295" s="17"/>
      <c r="I295" s="17"/>
      <c r="J295" s="17"/>
    </row>
    <row r="296" spans="3:10" x14ac:dyDescent="0.25">
      <c r="C296" s="31">
        <f t="shared" ca="1" si="22"/>
        <v>64.704251366808037</v>
      </c>
      <c r="D296" s="31">
        <f t="shared" ca="1" si="22"/>
        <v>121.3477488156073</v>
      </c>
      <c r="E296" s="32">
        <v>43.496057108574732</v>
      </c>
      <c r="F296" s="32">
        <v>114.53649651765127</v>
      </c>
      <c r="G296" s="17"/>
      <c r="H296" s="17"/>
      <c r="I296" s="17"/>
      <c r="J296" s="17"/>
    </row>
    <row r="297" spans="3:10" x14ac:dyDescent="0.25">
      <c r="C297" s="31">
        <f t="shared" ca="1" si="22"/>
        <v>46.026190325566965</v>
      </c>
      <c r="D297" s="31">
        <f t="shared" ca="1" si="22"/>
        <v>111.38696556023167</v>
      </c>
      <c r="E297" s="32">
        <v>35.956203107700972</v>
      </c>
      <c r="F297" s="32">
        <v>97.829830269148857</v>
      </c>
      <c r="G297" s="17"/>
      <c r="H297" s="17"/>
      <c r="I297" s="17"/>
      <c r="J297" s="17"/>
    </row>
    <row r="298" spans="3:10" x14ac:dyDescent="0.25">
      <c r="C298" s="31">
        <f t="shared" ca="1" si="22"/>
        <v>53.336917007405738</v>
      </c>
      <c r="D298" s="31">
        <f t="shared" ca="1" si="22"/>
        <v>104.89695078969287</v>
      </c>
      <c r="E298" s="32">
        <v>46.559150543697321</v>
      </c>
      <c r="F298" s="32">
        <v>109.62910900911163</v>
      </c>
      <c r="G298" s="17"/>
      <c r="H298" s="17"/>
      <c r="I298" s="17"/>
      <c r="J298" s="17"/>
    </row>
    <row r="299" spans="3:10" x14ac:dyDescent="0.25">
      <c r="C299" s="31">
        <f t="shared" ca="1" si="22"/>
        <v>66.280249541881773</v>
      </c>
      <c r="D299" s="31">
        <f t="shared" ca="1" si="22"/>
        <v>98.263551713116314</v>
      </c>
      <c r="E299" s="32">
        <v>67.452244986642114</v>
      </c>
      <c r="F299" s="32">
        <v>106.38610224883173</v>
      </c>
      <c r="G299" s="17"/>
      <c r="H299" s="17"/>
      <c r="I299" s="17"/>
      <c r="J299" s="17"/>
    </row>
    <row r="300" spans="3:10" x14ac:dyDescent="0.25">
      <c r="C300" s="31">
        <f t="shared" ca="1" si="22"/>
        <v>64.38580428421335</v>
      </c>
      <c r="D300" s="31">
        <f t="shared" ca="1" si="22"/>
        <v>111.69865023159609</v>
      </c>
      <c r="E300" s="32">
        <v>57.046361232963044</v>
      </c>
      <c r="F300" s="32">
        <v>123.37887190706361</v>
      </c>
      <c r="G300" s="17"/>
      <c r="H300" s="17"/>
      <c r="I300" s="17"/>
      <c r="J300" s="17"/>
    </row>
    <row r="301" spans="3:10" x14ac:dyDescent="0.25">
      <c r="C301" s="31">
        <f t="shared" ca="1" si="22"/>
        <v>45.554019380312617</v>
      </c>
      <c r="D301" s="31">
        <f t="shared" ca="1" si="22"/>
        <v>136.18719969623197</v>
      </c>
      <c r="E301" s="32">
        <v>28.405606410274558</v>
      </c>
      <c r="F301" s="32">
        <v>112.18100121207586</v>
      </c>
      <c r="G301" s="17"/>
      <c r="H301" s="17"/>
      <c r="I301" s="17"/>
      <c r="J301" s="17"/>
    </row>
    <row r="302" spans="3:10" x14ac:dyDescent="0.25">
      <c r="C302" s="31">
        <f t="shared" ca="1" si="22"/>
        <v>62.149129750094787</v>
      </c>
      <c r="D302" s="31">
        <f t="shared" ca="1" si="22"/>
        <v>104.7987104827681</v>
      </c>
      <c r="E302" s="32">
        <v>52.10205382978269</v>
      </c>
      <c r="F302" s="32">
        <v>103.94634026820704</v>
      </c>
      <c r="G302" s="17"/>
      <c r="H302" s="17"/>
      <c r="I302" s="17"/>
      <c r="J302" s="17"/>
    </row>
    <row r="303" spans="3:10" x14ac:dyDescent="0.25">
      <c r="C303" s="31">
        <f t="shared" ca="1" si="22"/>
        <v>39.671908931943562</v>
      </c>
      <c r="D303" s="31">
        <f t="shared" ca="1" si="22"/>
        <v>82.781576075247344</v>
      </c>
      <c r="E303" s="32">
        <v>40.509085331283444</v>
      </c>
      <c r="F303" s="32">
        <v>100.36108080671777</v>
      </c>
      <c r="G303" s="17"/>
      <c r="H303" s="17"/>
      <c r="I303" s="17"/>
      <c r="J303" s="17"/>
    </row>
    <row r="304" spans="3:10" x14ac:dyDescent="0.25">
      <c r="C304" s="31">
        <f t="shared" ca="1" si="22"/>
        <v>75.472538897508755</v>
      </c>
      <c r="D304" s="31">
        <f t="shared" ca="1" si="22"/>
        <v>126.17390160809863</v>
      </c>
      <c r="E304" s="32">
        <v>70.532126259824665</v>
      </c>
      <c r="F304" s="32">
        <v>96.212146543854672</v>
      </c>
      <c r="G304" s="17"/>
      <c r="H304" s="17"/>
      <c r="I304" s="17"/>
      <c r="J304" s="17"/>
    </row>
    <row r="305" spans="3:10" x14ac:dyDescent="0.25">
      <c r="C305" s="31">
        <f t="shared" ca="1" si="22"/>
        <v>61.87289369742777</v>
      </c>
      <c r="D305" s="31">
        <f t="shared" ca="1" si="22"/>
        <v>89.582899428984888</v>
      </c>
      <c r="E305" s="32">
        <v>42.293662590359396</v>
      </c>
      <c r="F305" s="32">
        <v>113.14183033607129</v>
      </c>
      <c r="G305" s="17"/>
      <c r="H305" s="17"/>
      <c r="I305" s="17"/>
      <c r="J305" s="17"/>
    </row>
    <row r="306" spans="3:10" x14ac:dyDescent="0.25">
      <c r="C306" s="31">
        <f t="shared" ca="1" si="22"/>
        <v>27.835419624965137</v>
      </c>
      <c r="D306" s="31">
        <f t="shared" ca="1" si="22"/>
        <v>108.75915304469578</v>
      </c>
      <c r="E306" s="32">
        <v>10.537173059584852</v>
      </c>
      <c r="F306" s="32">
        <v>128.31120150872849</v>
      </c>
      <c r="G306" s="17"/>
      <c r="H306" s="17"/>
      <c r="I306" s="17"/>
      <c r="J306" s="17"/>
    </row>
    <row r="307" spans="3:10" x14ac:dyDescent="0.25">
      <c r="C307" s="31">
        <f t="shared" ca="1" si="22"/>
        <v>44.19179942831417</v>
      </c>
      <c r="D307" s="31">
        <f t="shared" ca="1" si="22"/>
        <v>129.33506543323969</v>
      </c>
      <c r="E307" s="32">
        <v>32.639958520255263</v>
      </c>
      <c r="F307" s="32">
        <v>135.8616576536935</v>
      </c>
      <c r="G307" s="17"/>
      <c r="H307" s="17"/>
      <c r="I307" s="17"/>
      <c r="J307" s="17"/>
    </row>
    <row r="308" spans="3:10" x14ac:dyDescent="0.25">
      <c r="C308" s="31">
        <f t="shared" ca="1" si="22"/>
        <v>61.861512369031203</v>
      </c>
      <c r="D308" s="31">
        <f t="shared" ca="1" si="22"/>
        <v>101.28733762948391</v>
      </c>
      <c r="E308" s="32">
        <v>56.160328503717622</v>
      </c>
      <c r="F308" s="32">
        <v>115.72029803026685</v>
      </c>
      <c r="G308" s="17"/>
      <c r="H308" s="17"/>
      <c r="I308" s="17"/>
      <c r="J308" s="17"/>
    </row>
    <row r="309" spans="3:10" x14ac:dyDescent="0.25">
      <c r="C309" s="31">
        <f t="shared" ca="1" si="22"/>
        <v>80.400440249796191</v>
      </c>
      <c r="D309" s="31">
        <f t="shared" ca="1" si="22"/>
        <v>104.27990292260344</v>
      </c>
      <c r="E309" s="32">
        <v>42.545344000085066</v>
      </c>
      <c r="F309" s="32">
        <v>124.09267269856788</v>
      </c>
      <c r="G309" s="17"/>
      <c r="H309" s="17"/>
      <c r="I309" s="17"/>
      <c r="J309" s="17"/>
    </row>
    <row r="310" spans="3:10" x14ac:dyDescent="0.25">
      <c r="C310" s="31">
        <f t="shared" ca="1" si="22"/>
        <v>49.543670035648823</v>
      </c>
      <c r="D310" s="31">
        <f t="shared" ca="1" si="22"/>
        <v>92.18323326437644</v>
      </c>
      <c r="E310" s="32">
        <v>64.876280292370524</v>
      </c>
      <c r="F310" s="32">
        <v>105.49462605536397</v>
      </c>
      <c r="G310" s="17"/>
      <c r="H310" s="17"/>
      <c r="I310" s="17"/>
      <c r="J310" s="17"/>
    </row>
    <row r="311" spans="3:10" x14ac:dyDescent="0.25">
      <c r="C311" s="31">
        <f t="shared" ca="1" si="22"/>
        <v>41.849367773814443</v>
      </c>
      <c r="D311" s="31">
        <f t="shared" ca="1" si="22"/>
        <v>118.87413932268186</v>
      </c>
      <c r="E311" s="32">
        <v>69.041636473952224</v>
      </c>
      <c r="F311" s="32">
        <v>112.49270093437998</v>
      </c>
      <c r="G311" s="17"/>
      <c r="H311" s="17"/>
      <c r="I311" s="17"/>
      <c r="J311" s="17"/>
    </row>
    <row r="312" spans="3:10" x14ac:dyDescent="0.25">
      <c r="C312" s="31">
        <f t="shared" ca="1" si="22"/>
        <v>54.530837034654454</v>
      </c>
      <c r="D312" s="31">
        <f t="shared" ca="1" si="22"/>
        <v>103.27649408555001</v>
      </c>
      <c r="E312" s="32">
        <v>16.781339001697702</v>
      </c>
      <c r="F312" s="32">
        <v>113.97170010957939</v>
      </c>
      <c r="G312" s="17"/>
      <c r="H312" s="17"/>
      <c r="I312" s="17"/>
      <c r="J312" s="17"/>
    </row>
    <row r="313" spans="3:10" x14ac:dyDescent="0.25">
      <c r="C313" s="31">
        <f t="shared" ca="1" si="22"/>
        <v>27.11298554814563</v>
      </c>
      <c r="D313" s="31">
        <f t="shared" ca="1" si="22"/>
        <v>129.52435697812177</v>
      </c>
      <c r="E313" s="32">
        <v>15.142367582062278</v>
      </c>
      <c r="F313" s="32">
        <v>109.51419542855821</v>
      </c>
      <c r="G313" s="17"/>
      <c r="H313" s="17"/>
      <c r="I313" s="17"/>
      <c r="J313" s="17"/>
    </row>
    <row r="314" spans="3:10" x14ac:dyDescent="0.25">
      <c r="C314" s="31">
        <f t="shared" ref="C314:D333" ca="1" si="23">_xlfn.NORM.INV(RAND(),C$4,C$5)</f>
        <v>60.393726855204591</v>
      </c>
      <c r="D314" s="31">
        <f t="shared" ca="1" si="23"/>
        <v>100.56700467774876</v>
      </c>
      <c r="E314" s="32">
        <v>44.316052186373234</v>
      </c>
      <c r="F314" s="32">
        <v>119.08720952511254</v>
      </c>
      <c r="G314" s="17"/>
      <c r="H314" s="17"/>
      <c r="I314" s="17"/>
      <c r="J314" s="17"/>
    </row>
    <row r="315" spans="3:10" x14ac:dyDescent="0.25">
      <c r="C315" s="31">
        <f t="shared" ca="1" si="23"/>
        <v>42.735665803941437</v>
      </c>
      <c r="D315" s="31">
        <f t="shared" ca="1" si="23"/>
        <v>126.76032802576249</v>
      </c>
      <c r="E315" s="32">
        <v>61.464915374342652</v>
      </c>
      <c r="F315" s="32">
        <v>117.37781545839169</v>
      </c>
      <c r="G315" s="17"/>
      <c r="H315" s="17"/>
      <c r="I315" s="17"/>
      <c r="J315" s="17"/>
    </row>
    <row r="316" spans="3:10" x14ac:dyDescent="0.25">
      <c r="C316" s="31">
        <f t="shared" ca="1" si="23"/>
        <v>51.470543521055809</v>
      </c>
      <c r="D316" s="31">
        <f t="shared" ca="1" si="23"/>
        <v>115.10832360562031</v>
      </c>
      <c r="E316" s="32">
        <v>65.946481363180567</v>
      </c>
      <c r="F316" s="32">
        <v>117.77938036508647</v>
      </c>
      <c r="G316" s="17"/>
      <c r="H316" s="17"/>
      <c r="I316" s="17"/>
      <c r="J316" s="17"/>
    </row>
    <row r="317" spans="3:10" x14ac:dyDescent="0.25">
      <c r="C317" s="31">
        <f t="shared" ca="1" si="23"/>
        <v>49.616929037877981</v>
      </c>
      <c r="D317" s="31">
        <f t="shared" ca="1" si="23"/>
        <v>132.79137555978159</v>
      </c>
      <c r="E317" s="32">
        <v>53.225719518248638</v>
      </c>
      <c r="F317" s="32">
        <v>123.34351982221548</v>
      </c>
      <c r="G317" s="17"/>
      <c r="H317" s="17"/>
      <c r="I317" s="17"/>
      <c r="J317" s="17"/>
    </row>
    <row r="318" spans="3:10" x14ac:dyDescent="0.25">
      <c r="C318" s="31">
        <f t="shared" ca="1" si="23"/>
        <v>42.041999284606192</v>
      </c>
      <c r="D318" s="31">
        <f t="shared" ca="1" si="23"/>
        <v>111.93811006966503</v>
      </c>
      <c r="E318" s="32">
        <v>49.316806766042959</v>
      </c>
      <c r="F318" s="32">
        <v>102.17096545245282</v>
      </c>
      <c r="G318" s="17"/>
      <c r="H318" s="17"/>
      <c r="I318" s="17"/>
      <c r="J318" s="17"/>
    </row>
    <row r="319" spans="3:10" x14ac:dyDescent="0.25">
      <c r="C319" s="31">
        <f t="shared" ca="1" si="23"/>
        <v>43.414361428126931</v>
      </c>
      <c r="D319" s="31">
        <f t="shared" ca="1" si="23"/>
        <v>108.76675741578335</v>
      </c>
      <c r="E319" s="32">
        <v>79.436380369756989</v>
      </c>
      <c r="F319" s="32">
        <v>93.467031030239966</v>
      </c>
      <c r="G319" s="17"/>
      <c r="H319" s="17"/>
      <c r="I319" s="17"/>
      <c r="J319" s="17"/>
    </row>
    <row r="320" spans="3:10" x14ac:dyDescent="0.25">
      <c r="C320" s="31">
        <f t="shared" ca="1" si="23"/>
        <v>73.606769599559925</v>
      </c>
      <c r="D320" s="31">
        <f t="shared" ca="1" si="23"/>
        <v>117.16925894537265</v>
      </c>
      <c r="E320" s="32">
        <v>32.168126953614021</v>
      </c>
      <c r="F320" s="32">
        <v>115.34328469858313</v>
      </c>
      <c r="G320" s="17"/>
      <c r="H320" s="17"/>
      <c r="I320" s="17"/>
      <c r="J320" s="17"/>
    </row>
    <row r="321" spans="3:10" x14ac:dyDescent="0.25">
      <c r="C321" s="31">
        <f t="shared" ca="1" si="23"/>
        <v>75.937292850680407</v>
      </c>
      <c r="D321" s="31">
        <f t="shared" ca="1" si="23"/>
        <v>109.49547243372602</v>
      </c>
      <c r="E321" s="32">
        <v>44.830153052571056</v>
      </c>
      <c r="F321" s="32">
        <v>89.453809626526123</v>
      </c>
      <c r="G321" s="17"/>
      <c r="H321" s="17"/>
      <c r="I321" s="17"/>
      <c r="J321" s="17"/>
    </row>
    <row r="322" spans="3:10" x14ac:dyDescent="0.25">
      <c r="C322" s="31">
        <f t="shared" ca="1" si="23"/>
        <v>55.481863744660103</v>
      </c>
      <c r="D322" s="31">
        <f t="shared" ca="1" si="23"/>
        <v>115.60522647098888</v>
      </c>
      <c r="E322" s="32">
        <v>63.607193079056231</v>
      </c>
      <c r="F322" s="32">
        <v>128.44555512016473</v>
      </c>
      <c r="G322" s="17"/>
      <c r="H322" s="17"/>
      <c r="I322" s="17"/>
      <c r="J322" s="17"/>
    </row>
    <row r="323" spans="3:10" x14ac:dyDescent="0.25">
      <c r="C323" s="31">
        <f t="shared" ca="1" si="23"/>
        <v>54.532083767824531</v>
      </c>
      <c r="D323" s="31">
        <f t="shared" ca="1" si="23"/>
        <v>101.86400735030374</v>
      </c>
      <c r="E323" s="32">
        <v>43.386374750583691</v>
      </c>
      <c r="F323" s="32">
        <v>121.11516160021414</v>
      </c>
      <c r="G323" s="17"/>
      <c r="H323" s="17"/>
      <c r="I323" s="17"/>
      <c r="J323" s="17"/>
    </row>
    <row r="324" spans="3:10" x14ac:dyDescent="0.25">
      <c r="C324" s="31">
        <f t="shared" ca="1" si="23"/>
        <v>38.318522788996951</v>
      </c>
      <c r="D324" s="31">
        <f t="shared" ca="1" si="23"/>
        <v>122.09670707243407</v>
      </c>
      <c r="E324" s="32">
        <v>28.645328114453402</v>
      </c>
      <c r="F324" s="32">
        <v>107.09009219426235</v>
      </c>
      <c r="G324" s="17"/>
      <c r="H324" s="17"/>
      <c r="I324" s="17"/>
      <c r="J324" s="17"/>
    </row>
    <row r="325" spans="3:10" x14ac:dyDescent="0.25">
      <c r="C325" s="31">
        <f t="shared" ca="1" si="23"/>
        <v>33.708755784019004</v>
      </c>
      <c r="D325" s="31">
        <f t="shared" ca="1" si="23"/>
        <v>108.29230769346685</v>
      </c>
      <c r="E325" s="32">
        <v>43.708609593653691</v>
      </c>
      <c r="F325" s="32">
        <v>124.77643761683723</v>
      </c>
      <c r="G325" s="17"/>
      <c r="H325" s="17"/>
      <c r="I325" s="17"/>
      <c r="J325" s="17"/>
    </row>
    <row r="326" spans="3:10" x14ac:dyDescent="0.25">
      <c r="C326" s="31">
        <f t="shared" ca="1" si="23"/>
        <v>32.175895862616926</v>
      </c>
      <c r="D326" s="31">
        <f t="shared" ca="1" si="23"/>
        <v>120.53989958683945</v>
      </c>
      <c r="E326" s="32">
        <v>55.50590132011699</v>
      </c>
      <c r="F326" s="32">
        <v>117.31876405604754</v>
      </c>
      <c r="G326" s="17"/>
      <c r="H326" s="17"/>
      <c r="I326" s="17"/>
      <c r="J326" s="17"/>
    </row>
    <row r="327" spans="3:10" x14ac:dyDescent="0.25">
      <c r="C327" s="31">
        <f t="shared" ca="1" si="23"/>
        <v>47.908406579515031</v>
      </c>
      <c r="D327" s="31">
        <f t="shared" ca="1" si="23"/>
        <v>97.358009622050929</v>
      </c>
      <c r="E327" s="32">
        <v>45.021112587702483</v>
      </c>
      <c r="F327" s="32">
        <v>94.229210816129779</v>
      </c>
      <c r="G327" s="17"/>
      <c r="H327" s="17"/>
      <c r="I327" s="17"/>
      <c r="J327" s="17"/>
    </row>
    <row r="328" spans="3:10" x14ac:dyDescent="0.25">
      <c r="C328" s="31">
        <f t="shared" ca="1" si="23"/>
        <v>72.418735144295269</v>
      </c>
      <c r="D328" s="31">
        <f t="shared" ca="1" si="23"/>
        <v>121.57892116542033</v>
      </c>
      <c r="E328" s="32">
        <v>51.873192811813681</v>
      </c>
      <c r="F328" s="32">
        <v>103.11331322517063</v>
      </c>
      <c r="G328" s="17"/>
      <c r="H328" s="17"/>
      <c r="I328" s="17"/>
      <c r="J328" s="17"/>
    </row>
    <row r="329" spans="3:10" x14ac:dyDescent="0.25">
      <c r="C329" s="31">
        <f t="shared" ca="1" si="23"/>
        <v>69.663682413114074</v>
      </c>
      <c r="D329" s="31">
        <f t="shared" ca="1" si="23"/>
        <v>122.50432158394258</v>
      </c>
      <c r="E329" s="32">
        <v>61.02003761493809</v>
      </c>
      <c r="F329" s="32">
        <v>123.65850776164321</v>
      </c>
      <c r="G329" s="17"/>
      <c r="H329" s="17"/>
      <c r="I329" s="17"/>
      <c r="J329" s="17"/>
    </row>
    <row r="330" spans="3:10" x14ac:dyDescent="0.25">
      <c r="C330" s="31">
        <f t="shared" ca="1" si="23"/>
        <v>40.991850099623576</v>
      </c>
      <c r="D330" s="31">
        <f t="shared" ca="1" si="23"/>
        <v>96.074244836034495</v>
      </c>
      <c r="E330" s="32">
        <v>49.285794561706446</v>
      </c>
      <c r="F330" s="32">
        <v>101.42979572495132</v>
      </c>
      <c r="G330" s="17"/>
      <c r="H330" s="17"/>
      <c r="I330" s="17"/>
      <c r="J330" s="17"/>
    </row>
    <row r="331" spans="3:10" x14ac:dyDescent="0.25">
      <c r="C331" s="31">
        <f t="shared" ca="1" si="23"/>
        <v>24.945916773724175</v>
      </c>
      <c r="D331" s="31">
        <f t="shared" ca="1" si="23"/>
        <v>104.23356520064083</v>
      </c>
      <c r="E331" s="32">
        <v>70.761307622390049</v>
      </c>
      <c r="F331" s="32">
        <v>104.64974454355445</v>
      </c>
      <c r="G331" s="17"/>
      <c r="H331" s="17"/>
      <c r="I331" s="17"/>
      <c r="J331" s="17"/>
    </row>
    <row r="332" spans="3:10" x14ac:dyDescent="0.25">
      <c r="C332" s="31">
        <f t="shared" ca="1" si="23"/>
        <v>42.039732736092716</v>
      </c>
      <c r="D332" s="31">
        <f t="shared" ca="1" si="23"/>
        <v>116.1972883848087</v>
      </c>
      <c r="E332" s="32">
        <v>54.902110561022354</v>
      </c>
      <c r="F332" s="32">
        <v>109.25058857110983</v>
      </c>
      <c r="G332" s="17"/>
      <c r="H332" s="17"/>
      <c r="I332" s="17"/>
      <c r="J332" s="17"/>
    </row>
    <row r="333" spans="3:10" x14ac:dyDescent="0.25">
      <c r="C333" s="31">
        <f t="shared" ca="1" si="23"/>
        <v>82.302665884811574</v>
      </c>
      <c r="D333" s="31">
        <f t="shared" ca="1" si="23"/>
        <v>127.75111178794387</v>
      </c>
      <c r="E333" s="32">
        <v>10.908591362953786</v>
      </c>
      <c r="F333" s="32">
        <v>113.11846808873113</v>
      </c>
      <c r="G333" s="17"/>
      <c r="H333" s="17"/>
      <c r="I333" s="17"/>
      <c r="J333" s="17"/>
    </row>
    <row r="334" spans="3:10" x14ac:dyDescent="0.25">
      <c r="C334" s="31">
        <f t="shared" ref="C334:D353" ca="1" si="24">_xlfn.NORM.INV(RAND(),C$4,C$5)</f>
        <v>60.978866477928115</v>
      </c>
      <c r="D334" s="31">
        <f t="shared" ca="1" si="24"/>
        <v>114.69105653185548</v>
      </c>
      <c r="E334" s="32">
        <v>86.617127057306703</v>
      </c>
      <c r="F334" s="32">
        <v>109.38949362492559</v>
      </c>
      <c r="G334" s="17"/>
      <c r="H334" s="17"/>
      <c r="I334" s="17"/>
      <c r="J334" s="17"/>
    </row>
    <row r="335" spans="3:10" x14ac:dyDescent="0.25">
      <c r="C335" s="31">
        <f t="shared" ca="1" si="24"/>
        <v>59.754122212146598</v>
      </c>
      <c r="D335" s="31">
        <f t="shared" ca="1" si="24"/>
        <v>106.35861451276115</v>
      </c>
      <c r="E335" s="32">
        <v>62.068099015705847</v>
      </c>
      <c r="F335" s="32">
        <v>112.52961756391856</v>
      </c>
      <c r="G335" s="17"/>
      <c r="H335" s="17"/>
      <c r="I335" s="17"/>
      <c r="J335" s="17"/>
    </row>
    <row r="336" spans="3:10" x14ac:dyDescent="0.25">
      <c r="C336" s="31">
        <f t="shared" ca="1" si="24"/>
        <v>52.409484238774851</v>
      </c>
      <c r="D336" s="31">
        <f t="shared" ca="1" si="24"/>
        <v>110.2769658992796</v>
      </c>
      <c r="E336" s="32">
        <v>13.761609055417523</v>
      </c>
      <c r="F336" s="32">
        <v>127.6425961577697</v>
      </c>
      <c r="G336" s="17"/>
      <c r="H336" s="17"/>
      <c r="I336" s="17"/>
      <c r="J336" s="17"/>
    </row>
    <row r="337" spans="3:10" x14ac:dyDescent="0.25">
      <c r="C337" s="31">
        <f t="shared" ca="1" si="24"/>
        <v>50.915664072369587</v>
      </c>
      <c r="D337" s="31">
        <f t="shared" ca="1" si="24"/>
        <v>126.25448592480286</v>
      </c>
      <c r="E337" s="32">
        <v>45.504781504251191</v>
      </c>
      <c r="F337" s="32">
        <v>101.84411505192858</v>
      </c>
      <c r="G337" s="17"/>
      <c r="H337" s="17"/>
      <c r="I337" s="17"/>
      <c r="J337" s="17"/>
    </row>
    <row r="338" spans="3:10" x14ac:dyDescent="0.25">
      <c r="C338" s="31">
        <f t="shared" ca="1" si="24"/>
        <v>75.336481771613506</v>
      </c>
      <c r="D338" s="31">
        <f t="shared" ca="1" si="24"/>
        <v>105.01760011587565</v>
      </c>
      <c r="E338" s="32">
        <v>48.563494317039812</v>
      </c>
      <c r="F338" s="32">
        <v>103.67998333496428</v>
      </c>
      <c r="G338" s="17"/>
      <c r="H338" s="17"/>
      <c r="I338" s="17"/>
      <c r="J338" s="17"/>
    </row>
    <row r="339" spans="3:10" x14ac:dyDescent="0.25">
      <c r="C339" s="31">
        <f t="shared" ca="1" si="24"/>
        <v>49.137954746023269</v>
      </c>
      <c r="D339" s="31">
        <f t="shared" ca="1" si="24"/>
        <v>110.3533834621731</v>
      </c>
      <c r="E339" s="32">
        <v>41.174735893080019</v>
      </c>
      <c r="F339" s="32">
        <v>82.980294236354027</v>
      </c>
      <c r="G339" s="17"/>
      <c r="H339" s="17"/>
      <c r="I339" s="17"/>
      <c r="J339" s="17"/>
    </row>
    <row r="340" spans="3:10" x14ac:dyDescent="0.25">
      <c r="C340" s="31">
        <f t="shared" ca="1" si="24"/>
        <v>22.827751964672657</v>
      </c>
      <c r="D340" s="31">
        <f t="shared" ca="1" si="24"/>
        <v>126.44217523932285</v>
      </c>
      <c r="E340" s="32">
        <v>37.954496316562029</v>
      </c>
      <c r="F340" s="32">
        <v>123.65734429553359</v>
      </c>
      <c r="G340" s="17"/>
      <c r="H340" s="17"/>
      <c r="I340" s="17"/>
      <c r="J340" s="17"/>
    </row>
    <row r="341" spans="3:10" x14ac:dyDescent="0.25">
      <c r="C341" s="31">
        <f t="shared" ca="1" si="24"/>
        <v>30.827127604398477</v>
      </c>
      <c r="D341" s="31">
        <f t="shared" ca="1" si="24"/>
        <v>77.835327127915065</v>
      </c>
      <c r="E341" s="32">
        <v>73.421059876336642</v>
      </c>
      <c r="F341" s="32">
        <v>123.18312397666796</v>
      </c>
      <c r="G341" s="17"/>
      <c r="H341" s="17"/>
      <c r="I341" s="17"/>
      <c r="J341" s="17"/>
    </row>
    <row r="342" spans="3:10" x14ac:dyDescent="0.25">
      <c r="C342" s="31">
        <f t="shared" ca="1" si="24"/>
        <v>68.384842581614834</v>
      </c>
      <c r="D342" s="31">
        <f t="shared" ca="1" si="24"/>
        <v>107.96350822315173</v>
      </c>
      <c r="E342" s="32">
        <v>54.642709725534139</v>
      </c>
      <c r="F342" s="32">
        <v>107.57430759216226</v>
      </c>
      <c r="G342" s="17"/>
      <c r="H342" s="17"/>
      <c r="I342" s="17"/>
      <c r="J342" s="17"/>
    </row>
    <row r="343" spans="3:10" x14ac:dyDescent="0.25">
      <c r="C343" s="31">
        <f t="shared" ca="1" si="24"/>
        <v>41.018304341499878</v>
      </c>
      <c r="D343" s="31">
        <f t="shared" ca="1" si="24"/>
        <v>130.30362211242553</v>
      </c>
      <c r="E343" s="32">
        <v>66.085429521979293</v>
      </c>
      <c r="F343" s="32">
        <v>133.24312733196041</v>
      </c>
      <c r="G343" s="17"/>
      <c r="H343" s="17"/>
      <c r="I343" s="17"/>
      <c r="J343" s="17"/>
    </row>
    <row r="344" spans="3:10" x14ac:dyDescent="0.25">
      <c r="C344" s="31">
        <f t="shared" ca="1" si="24"/>
        <v>54.225327276686208</v>
      </c>
      <c r="D344" s="31">
        <f t="shared" ca="1" si="24"/>
        <v>128.43890354828821</v>
      </c>
      <c r="E344" s="32">
        <v>58.146702812667321</v>
      </c>
      <c r="F344" s="32">
        <v>103.0746286626788</v>
      </c>
      <c r="G344" s="17"/>
      <c r="H344" s="17"/>
      <c r="I344" s="17"/>
      <c r="J344" s="17"/>
    </row>
    <row r="345" spans="3:10" x14ac:dyDescent="0.25">
      <c r="C345" s="31">
        <f t="shared" ca="1" si="24"/>
        <v>70.031429000428346</v>
      </c>
      <c r="D345" s="31">
        <f t="shared" ca="1" si="24"/>
        <v>138.80388173916356</v>
      </c>
      <c r="E345" s="32">
        <v>63.986588254708202</v>
      </c>
      <c r="F345" s="32">
        <v>117.06873565659811</v>
      </c>
      <c r="G345" s="17"/>
      <c r="H345" s="17"/>
      <c r="I345" s="17"/>
      <c r="J345" s="17"/>
    </row>
    <row r="346" spans="3:10" x14ac:dyDescent="0.25">
      <c r="C346" s="31">
        <f t="shared" ca="1" si="24"/>
        <v>77.249927014728797</v>
      </c>
      <c r="D346" s="31">
        <f t="shared" ca="1" si="24"/>
        <v>81.311182062053831</v>
      </c>
      <c r="E346" s="32">
        <v>57.195249338780712</v>
      </c>
      <c r="F346" s="32">
        <v>123.32237637337261</v>
      </c>
      <c r="G346" s="17"/>
      <c r="H346" s="17"/>
      <c r="I346" s="17"/>
      <c r="J346" s="17"/>
    </row>
    <row r="347" spans="3:10" x14ac:dyDescent="0.25">
      <c r="C347" s="31">
        <f t="shared" ca="1" si="24"/>
        <v>56.381531350120845</v>
      </c>
      <c r="D347" s="31">
        <f t="shared" ca="1" si="24"/>
        <v>120.11707654585101</v>
      </c>
      <c r="E347" s="32">
        <v>54.544895429368474</v>
      </c>
      <c r="F347" s="32">
        <v>114.71907203557576</v>
      </c>
      <c r="G347" s="17"/>
      <c r="H347" s="17"/>
      <c r="I347" s="17"/>
      <c r="J347" s="17"/>
    </row>
    <row r="348" spans="3:10" x14ac:dyDescent="0.25">
      <c r="C348" s="31">
        <f t="shared" ca="1" si="24"/>
        <v>66.654794044332803</v>
      </c>
      <c r="D348" s="31">
        <f t="shared" ca="1" si="24"/>
        <v>102.12105827236904</v>
      </c>
      <c r="E348" s="32">
        <v>55.795745649545417</v>
      </c>
      <c r="F348" s="32">
        <v>90.623538620954363</v>
      </c>
      <c r="G348" s="17"/>
      <c r="H348" s="17"/>
      <c r="I348" s="17"/>
      <c r="J348" s="17"/>
    </row>
    <row r="349" spans="3:10" x14ac:dyDescent="0.25">
      <c r="C349" s="31">
        <f t="shared" ca="1" si="24"/>
        <v>27.340664805910315</v>
      </c>
      <c r="D349" s="31">
        <f t="shared" ca="1" si="24"/>
        <v>94.979606710775187</v>
      </c>
      <c r="E349" s="32">
        <v>93.875027254664161</v>
      </c>
      <c r="F349" s="32">
        <v>104.77243474028784</v>
      </c>
      <c r="G349" s="17"/>
      <c r="H349" s="17"/>
      <c r="I349" s="17"/>
      <c r="J349" s="17"/>
    </row>
    <row r="350" spans="3:10" x14ac:dyDescent="0.25">
      <c r="C350" s="31">
        <f t="shared" ca="1" si="24"/>
        <v>36.369942209420216</v>
      </c>
      <c r="D350" s="31">
        <f t="shared" ca="1" si="24"/>
        <v>122.36377748000028</v>
      </c>
      <c r="E350" s="32">
        <v>39.534716901849414</v>
      </c>
      <c r="F350" s="32">
        <v>98.830901711391419</v>
      </c>
      <c r="G350" s="17"/>
      <c r="H350" s="17"/>
      <c r="I350" s="17"/>
      <c r="J350" s="17"/>
    </row>
    <row r="351" spans="3:10" x14ac:dyDescent="0.25">
      <c r="C351" s="31">
        <f t="shared" ca="1" si="24"/>
        <v>23.126451838841994</v>
      </c>
      <c r="D351" s="31">
        <f t="shared" ca="1" si="24"/>
        <v>115.26781852037443</v>
      </c>
      <c r="E351" s="32">
        <v>0.48285955825769378</v>
      </c>
      <c r="F351" s="32">
        <v>108.70453276540502</v>
      </c>
      <c r="G351" s="17"/>
      <c r="H351" s="17"/>
      <c r="I351" s="17"/>
      <c r="J351" s="17"/>
    </row>
    <row r="352" spans="3:10" x14ac:dyDescent="0.25">
      <c r="C352" s="31">
        <f t="shared" ca="1" si="24"/>
        <v>20.467458949757621</v>
      </c>
      <c r="D352" s="31">
        <f t="shared" ca="1" si="24"/>
        <v>109.4123057659577</v>
      </c>
      <c r="E352" s="32">
        <v>12.781156071666786</v>
      </c>
      <c r="F352" s="32">
        <v>107.4684531929604</v>
      </c>
      <c r="G352" s="17"/>
      <c r="H352" s="17"/>
      <c r="I352" s="17"/>
      <c r="J352" s="17"/>
    </row>
    <row r="353" spans="3:10" x14ac:dyDescent="0.25">
      <c r="C353" s="31">
        <f t="shared" ca="1" si="24"/>
        <v>54.290583420715116</v>
      </c>
      <c r="D353" s="31">
        <f t="shared" ca="1" si="24"/>
        <v>135.30739992338772</v>
      </c>
      <c r="E353" s="32">
        <v>49.299051195292385</v>
      </c>
      <c r="F353" s="32">
        <v>119.76274681009532</v>
      </c>
      <c r="G353" s="17"/>
      <c r="H353" s="17"/>
      <c r="I353" s="17"/>
      <c r="J353" s="17"/>
    </row>
    <row r="354" spans="3:10" x14ac:dyDescent="0.25">
      <c r="C354" s="31">
        <f t="shared" ref="C354:D373" ca="1" si="25">_xlfn.NORM.INV(RAND(),C$4,C$5)</f>
        <v>48.969176906720627</v>
      </c>
      <c r="D354" s="31">
        <f t="shared" ca="1" si="25"/>
        <v>120.90382711225654</v>
      </c>
      <c r="E354" s="32">
        <v>87.643016773741834</v>
      </c>
      <c r="F354" s="32">
        <v>128.03093031906479</v>
      </c>
      <c r="G354" s="17"/>
      <c r="H354" s="17"/>
      <c r="I354" s="17"/>
      <c r="J354" s="17"/>
    </row>
    <row r="355" spans="3:10" x14ac:dyDescent="0.25">
      <c r="C355" s="31">
        <f t="shared" ca="1" si="25"/>
        <v>105.31860582910831</v>
      </c>
      <c r="D355" s="31">
        <f t="shared" ca="1" si="25"/>
        <v>86.414326431261514</v>
      </c>
      <c r="E355" s="32">
        <v>46.491549704668465</v>
      </c>
      <c r="F355" s="32">
        <v>131.68906455249564</v>
      </c>
      <c r="G355" s="17"/>
      <c r="H355" s="17"/>
      <c r="I355" s="17"/>
      <c r="J355" s="17"/>
    </row>
    <row r="356" spans="3:10" x14ac:dyDescent="0.25">
      <c r="C356" s="31">
        <f t="shared" ca="1" si="25"/>
        <v>54.202899408804548</v>
      </c>
      <c r="D356" s="31">
        <f t="shared" ca="1" si="25"/>
        <v>97.738124127564049</v>
      </c>
      <c r="E356" s="32">
        <v>73.635194331713123</v>
      </c>
      <c r="F356" s="32">
        <v>117.72307748133706</v>
      </c>
      <c r="G356" s="17"/>
      <c r="H356" s="17"/>
      <c r="I356" s="17"/>
      <c r="J356" s="17"/>
    </row>
    <row r="357" spans="3:10" x14ac:dyDescent="0.25">
      <c r="C357" s="31">
        <f t="shared" ca="1" si="25"/>
        <v>76.948261915293116</v>
      </c>
      <c r="D357" s="31">
        <f t="shared" ca="1" si="25"/>
        <v>132.24142096887971</v>
      </c>
      <c r="E357" s="32">
        <v>81.387078281059331</v>
      </c>
      <c r="F357" s="32">
        <v>141.54297504578869</v>
      </c>
      <c r="G357" s="17"/>
      <c r="H357" s="17"/>
      <c r="I357" s="17"/>
      <c r="J357" s="17"/>
    </row>
    <row r="358" spans="3:10" x14ac:dyDescent="0.25">
      <c r="C358" s="31">
        <f t="shared" ca="1" si="25"/>
        <v>48.739377859090375</v>
      </c>
      <c r="D358" s="31">
        <f t="shared" ca="1" si="25"/>
        <v>120.19569203516821</v>
      </c>
      <c r="E358" s="32">
        <v>41.255087727172494</v>
      </c>
      <c r="F358" s="32">
        <v>95.747692448785727</v>
      </c>
      <c r="G358" s="17"/>
      <c r="H358" s="17"/>
      <c r="I358" s="17"/>
      <c r="J358" s="17"/>
    </row>
    <row r="359" spans="3:10" x14ac:dyDescent="0.25">
      <c r="C359" s="31">
        <f t="shared" ca="1" si="25"/>
        <v>73.670785548420611</v>
      </c>
      <c r="D359" s="31">
        <f t="shared" ca="1" si="25"/>
        <v>125.70303839095332</v>
      </c>
      <c r="E359" s="32">
        <v>57.349980789193189</v>
      </c>
      <c r="F359" s="32">
        <v>105.578922896406</v>
      </c>
      <c r="G359" s="17"/>
      <c r="H359" s="17"/>
      <c r="I359" s="17"/>
      <c r="J359" s="17"/>
    </row>
    <row r="360" spans="3:10" x14ac:dyDescent="0.25">
      <c r="C360" s="31">
        <f t="shared" ca="1" si="25"/>
        <v>53.5906905993129</v>
      </c>
      <c r="D360" s="31">
        <f t="shared" ca="1" si="25"/>
        <v>84.663884755676051</v>
      </c>
      <c r="E360" s="32">
        <v>49.031166986791462</v>
      </c>
      <c r="F360" s="32">
        <v>91.286320474341466</v>
      </c>
      <c r="G360" s="17"/>
      <c r="H360" s="17"/>
      <c r="I360" s="17"/>
      <c r="J360" s="17"/>
    </row>
    <row r="361" spans="3:10" x14ac:dyDescent="0.25">
      <c r="C361" s="31">
        <f t="shared" ca="1" si="25"/>
        <v>42.175619882980556</v>
      </c>
      <c r="D361" s="31">
        <f t="shared" ca="1" si="25"/>
        <v>112.42571291478856</v>
      </c>
      <c r="E361" s="32">
        <v>33.050423314401755</v>
      </c>
      <c r="F361" s="32">
        <v>111.03173176363315</v>
      </c>
      <c r="G361" s="17"/>
      <c r="H361" s="17"/>
      <c r="I361" s="17"/>
      <c r="J361" s="17"/>
    </row>
    <row r="362" spans="3:10" x14ac:dyDescent="0.25">
      <c r="C362" s="31">
        <f t="shared" ca="1" si="25"/>
        <v>38.018562435599215</v>
      </c>
      <c r="D362" s="31">
        <f t="shared" ca="1" si="25"/>
        <v>98.690598156931117</v>
      </c>
      <c r="E362" s="32">
        <v>28.018122482639761</v>
      </c>
      <c r="F362" s="32">
        <v>110.23591928328877</v>
      </c>
      <c r="G362" s="17"/>
      <c r="H362" s="17"/>
      <c r="I362" s="17"/>
      <c r="J362" s="17"/>
    </row>
    <row r="363" spans="3:10" x14ac:dyDescent="0.25">
      <c r="C363" s="31">
        <f t="shared" ca="1" si="25"/>
        <v>81.479583315277921</v>
      </c>
      <c r="D363" s="31">
        <f t="shared" ca="1" si="25"/>
        <v>123.80108477789094</v>
      </c>
      <c r="E363" s="32">
        <v>39.782991843840421</v>
      </c>
      <c r="F363" s="32">
        <v>136.0909302015979</v>
      </c>
      <c r="G363" s="17"/>
      <c r="H363" s="17"/>
      <c r="I363" s="17"/>
      <c r="J363" s="17"/>
    </row>
    <row r="364" spans="3:10" x14ac:dyDescent="0.25">
      <c r="C364" s="31">
        <f t="shared" ca="1" si="25"/>
        <v>33.271032997481313</v>
      </c>
      <c r="D364" s="31">
        <f t="shared" ca="1" si="25"/>
        <v>120.87873108721347</v>
      </c>
      <c r="E364" s="32">
        <v>83.411885758554973</v>
      </c>
      <c r="F364" s="32">
        <v>92.098739361016911</v>
      </c>
      <c r="G364" s="17"/>
      <c r="H364" s="17"/>
      <c r="I364" s="17"/>
      <c r="J364" s="17"/>
    </row>
    <row r="365" spans="3:10" x14ac:dyDescent="0.25">
      <c r="C365" s="31">
        <f t="shared" ca="1" si="25"/>
        <v>14.270418210303781</v>
      </c>
      <c r="D365" s="31">
        <f t="shared" ca="1" si="25"/>
        <v>105.4897618558882</v>
      </c>
      <c r="E365" s="32">
        <v>37.990965382329208</v>
      </c>
      <c r="F365" s="32">
        <v>110.76397615298772</v>
      </c>
      <c r="G365" s="17"/>
      <c r="H365" s="17"/>
      <c r="I365" s="17"/>
      <c r="J365" s="17"/>
    </row>
    <row r="366" spans="3:10" x14ac:dyDescent="0.25">
      <c r="C366" s="31">
        <f t="shared" ca="1" si="25"/>
        <v>52.524761087059595</v>
      </c>
      <c r="D366" s="31">
        <f t="shared" ca="1" si="25"/>
        <v>103.00551597123473</v>
      </c>
      <c r="E366" s="32">
        <v>95.74246379714431</v>
      </c>
      <c r="F366" s="32">
        <v>106.85365400066792</v>
      </c>
      <c r="G366" s="17"/>
      <c r="H366" s="17"/>
      <c r="I366" s="17"/>
      <c r="J366" s="17"/>
    </row>
    <row r="367" spans="3:10" x14ac:dyDescent="0.25">
      <c r="C367" s="31">
        <f t="shared" ca="1" si="25"/>
        <v>59.799278560482691</v>
      </c>
      <c r="D367" s="31">
        <f t="shared" ca="1" si="25"/>
        <v>105.08570927933573</v>
      </c>
      <c r="E367" s="32">
        <v>74.780437177836276</v>
      </c>
      <c r="F367" s="32">
        <v>95.206940261055962</v>
      </c>
      <c r="G367" s="17"/>
      <c r="H367" s="17"/>
      <c r="I367" s="17"/>
      <c r="J367" s="17"/>
    </row>
    <row r="368" spans="3:10" x14ac:dyDescent="0.25">
      <c r="C368" s="31">
        <f t="shared" ca="1" si="25"/>
        <v>11.030476575291182</v>
      </c>
      <c r="D368" s="31">
        <f t="shared" ca="1" si="25"/>
        <v>126.86655009720127</v>
      </c>
      <c r="E368" s="32">
        <v>25.219031382973892</v>
      </c>
      <c r="F368" s="32">
        <v>110.81952373129698</v>
      </c>
      <c r="G368" s="17"/>
      <c r="H368" s="17"/>
      <c r="I368" s="17"/>
      <c r="J368" s="17"/>
    </row>
    <row r="369" spans="3:10" x14ac:dyDescent="0.25">
      <c r="C369" s="31">
        <f t="shared" ca="1" si="25"/>
        <v>58.979475828496433</v>
      </c>
      <c r="D369" s="31">
        <f t="shared" ca="1" si="25"/>
        <v>129.53529528595567</v>
      </c>
      <c r="E369" s="32">
        <v>56.532838809675823</v>
      </c>
      <c r="F369" s="32">
        <v>100.92445390403194</v>
      </c>
      <c r="G369" s="17"/>
      <c r="H369" s="17"/>
      <c r="I369" s="17"/>
      <c r="J369" s="17"/>
    </row>
    <row r="370" spans="3:10" x14ac:dyDescent="0.25">
      <c r="C370" s="31">
        <f t="shared" ca="1" si="25"/>
        <v>76.220947249356072</v>
      </c>
      <c r="D370" s="31">
        <f t="shared" ca="1" si="25"/>
        <v>98.142062552291492</v>
      </c>
      <c r="E370" s="32">
        <v>62.237740291193624</v>
      </c>
      <c r="F370" s="32">
        <v>96.067474168320373</v>
      </c>
      <c r="G370" s="17"/>
      <c r="H370" s="17"/>
      <c r="I370" s="17"/>
      <c r="J370" s="17"/>
    </row>
    <row r="371" spans="3:10" x14ac:dyDescent="0.25">
      <c r="C371" s="31">
        <f t="shared" ca="1" si="25"/>
        <v>58.377767217286888</v>
      </c>
      <c r="D371" s="31">
        <f t="shared" ca="1" si="25"/>
        <v>142.17764119790138</v>
      </c>
      <c r="E371" s="32">
        <v>20.553324153352239</v>
      </c>
      <c r="F371" s="32">
        <v>106.28066656244863</v>
      </c>
      <c r="G371" s="17"/>
      <c r="H371" s="17"/>
      <c r="I371" s="17"/>
      <c r="J371" s="17"/>
    </row>
    <row r="372" spans="3:10" x14ac:dyDescent="0.25">
      <c r="C372" s="31">
        <f t="shared" ca="1" si="25"/>
        <v>-1.5644242114332627</v>
      </c>
      <c r="D372" s="31">
        <f t="shared" ca="1" si="25"/>
        <v>113.69353360451605</v>
      </c>
      <c r="E372" s="32">
        <v>79.059761552047235</v>
      </c>
      <c r="F372" s="32">
        <v>130.36701841899585</v>
      </c>
      <c r="G372" s="17"/>
      <c r="H372" s="17"/>
      <c r="I372" s="17"/>
      <c r="J372" s="17"/>
    </row>
    <row r="373" spans="3:10" x14ac:dyDescent="0.25">
      <c r="C373" s="31">
        <f t="shared" ca="1" si="25"/>
        <v>45.443701773420429</v>
      </c>
      <c r="D373" s="31">
        <f t="shared" ca="1" si="25"/>
        <v>123.55424687854232</v>
      </c>
      <c r="E373" s="32">
        <v>59.247818441062428</v>
      </c>
      <c r="F373" s="32">
        <v>121.1884530999054</v>
      </c>
      <c r="G373" s="17"/>
      <c r="H373" s="17"/>
      <c r="I373" s="17"/>
      <c r="J373" s="17"/>
    </row>
    <row r="374" spans="3:10" x14ac:dyDescent="0.25">
      <c r="C374" s="31">
        <f t="shared" ref="C374:D393" ca="1" si="26">_xlfn.NORM.INV(RAND(),C$4,C$5)</f>
        <v>77.27089343809854</v>
      </c>
      <c r="D374" s="31">
        <f t="shared" ca="1" si="26"/>
        <v>105.59077591077046</v>
      </c>
      <c r="E374" s="32">
        <v>56.529715090038508</v>
      </c>
      <c r="F374" s="32">
        <v>133.56692704287255</v>
      </c>
      <c r="G374" s="17"/>
      <c r="H374" s="17"/>
      <c r="I374" s="17"/>
      <c r="J374" s="17"/>
    </row>
    <row r="375" spans="3:10" x14ac:dyDescent="0.25">
      <c r="C375" s="31">
        <f t="shared" ca="1" si="26"/>
        <v>17.640108031395656</v>
      </c>
      <c r="D375" s="31">
        <f t="shared" ca="1" si="26"/>
        <v>110.95706520351031</v>
      </c>
      <c r="E375" s="32">
        <v>42.579929088318551</v>
      </c>
      <c r="F375" s="32">
        <v>88.780747661621987</v>
      </c>
      <c r="G375" s="17"/>
      <c r="H375" s="17"/>
      <c r="I375" s="17"/>
      <c r="J375" s="17"/>
    </row>
    <row r="376" spans="3:10" x14ac:dyDescent="0.25">
      <c r="C376" s="31">
        <f t="shared" ca="1" si="26"/>
        <v>64.262449600930125</v>
      </c>
      <c r="D376" s="31">
        <f t="shared" ca="1" si="26"/>
        <v>99.759750014382746</v>
      </c>
      <c r="E376" s="32">
        <v>55.445577762748663</v>
      </c>
      <c r="F376" s="32">
        <v>90.698436481000527</v>
      </c>
      <c r="G376" s="17"/>
      <c r="H376" s="17"/>
      <c r="I376" s="17"/>
      <c r="J376" s="17"/>
    </row>
    <row r="377" spans="3:10" x14ac:dyDescent="0.25">
      <c r="C377" s="31">
        <f t="shared" ca="1" si="26"/>
        <v>68.416722407721196</v>
      </c>
      <c r="D377" s="31">
        <f t="shared" ca="1" si="26"/>
        <v>116.54261381311338</v>
      </c>
      <c r="E377" s="32">
        <v>60.616904868492014</v>
      </c>
      <c r="F377" s="32">
        <v>123.66370006528017</v>
      </c>
      <c r="G377" s="17"/>
      <c r="H377" s="17"/>
      <c r="I377" s="17"/>
      <c r="J377" s="17"/>
    </row>
    <row r="378" spans="3:10" x14ac:dyDescent="0.25">
      <c r="C378" s="31">
        <f t="shared" ca="1" si="26"/>
        <v>58.01343610869047</v>
      </c>
      <c r="D378" s="31">
        <f t="shared" ca="1" si="26"/>
        <v>134.31879646990643</v>
      </c>
      <c r="E378" s="32">
        <v>50.087631669906528</v>
      </c>
      <c r="F378" s="32">
        <v>96.132359157647272</v>
      </c>
      <c r="G378" s="17"/>
      <c r="H378" s="17"/>
      <c r="I378" s="17"/>
      <c r="J378" s="17"/>
    </row>
    <row r="379" spans="3:10" x14ac:dyDescent="0.25">
      <c r="C379" s="31">
        <f t="shared" ca="1" si="26"/>
        <v>19.18776682345765</v>
      </c>
      <c r="D379" s="31">
        <f t="shared" ca="1" si="26"/>
        <v>114.26908776920925</v>
      </c>
      <c r="E379" s="32">
        <v>37.015431813438433</v>
      </c>
      <c r="F379" s="32">
        <v>107.28517567054091</v>
      </c>
      <c r="G379" s="17"/>
      <c r="H379" s="17"/>
      <c r="I379" s="17"/>
      <c r="J379" s="17"/>
    </row>
    <row r="380" spans="3:10" x14ac:dyDescent="0.25">
      <c r="C380" s="31">
        <f t="shared" ca="1" si="26"/>
        <v>40.73419154908003</v>
      </c>
      <c r="D380" s="31">
        <f t="shared" ca="1" si="26"/>
        <v>150.29618245919423</v>
      </c>
      <c r="E380" s="32">
        <v>66.798772402722321</v>
      </c>
      <c r="F380" s="32">
        <v>89.813130389416685</v>
      </c>
      <c r="G380" s="17"/>
      <c r="H380" s="17"/>
      <c r="I380" s="17"/>
      <c r="J380" s="17"/>
    </row>
    <row r="381" spans="3:10" x14ac:dyDescent="0.25">
      <c r="C381" s="31">
        <f t="shared" ca="1" si="26"/>
        <v>85.196662022457318</v>
      </c>
      <c r="D381" s="31">
        <f t="shared" ca="1" si="26"/>
        <v>104.83141433551809</v>
      </c>
      <c r="E381" s="32">
        <v>64.726824767949012</v>
      </c>
      <c r="F381" s="32">
        <v>90.702282551257341</v>
      </c>
      <c r="G381" s="17"/>
      <c r="H381" s="17"/>
      <c r="I381" s="17"/>
      <c r="J381" s="17"/>
    </row>
    <row r="382" spans="3:10" x14ac:dyDescent="0.25">
      <c r="C382" s="31">
        <f t="shared" ca="1" si="26"/>
        <v>21.262261209650472</v>
      </c>
      <c r="D382" s="31">
        <f t="shared" ca="1" si="26"/>
        <v>84.512771301376603</v>
      </c>
      <c r="E382" s="32">
        <v>54.574012201461713</v>
      </c>
      <c r="F382" s="32">
        <v>96.601090722007669</v>
      </c>
      <c r="G382" s="17"/>
      <c r="H382" s="17"/>
      <c r="I382" s="17"/>
      <c r="J382" s="17"/>
    </row>
    <row r="383" spans="3:10" x14ac:dyDescent="0.25">
      <c r="C383" s="31">
        <f t="shared" ca="1" si="26"/>
        <v>30.79497464823098</v>
      </c>
      <c r="D383" s="31">
        <f t="shared" ca="1" si="26"/>
        <v>87.004717288868733</v>
      </c>
      <c r="E383" s="32">
        <v>49.520114920402229</v>
      </c>
      <c r="F383" s="32">
        <v>112.60616837777424</v>
      </c>
      <c r="G383" s="17"/>
      <c r="H383" s="17"/>
      <c r="I383" s="17"/>
      <c r="J383" s="17"/>
    </row>
    <row r="384" spans="3:10" x14ac:dyDescent="0.25">
      <c r="C384" s="31">
        <f t="shared" ca="1" si="26"/>
        <v>41.225673975138498</v>
      </c>
      <c r="D384" s="31">
        <f t="shared" ca="1" si="26"/>
        <v>123.78234504626771</v>
      </c>
      <c r="E384" s="32">
        <v>27.335926315226438</v>
      </c>
      <c r="F384" s="32">
        <v>94.297089154095204</v>
      </c>
      <c r="G384" s="17"/>
      <c r="H384" s="17"/>
      <c r="I384" s="17"/>
      <c r="J384" s="17"/>
    </row>
    <row r="385" spans="3:10" x14ac:dyDescent="0.25">
      <c r="C385" s="31">
        <f t="shared" ca="1" si="26"/>
        <v>78.043877757258301</v>
      </c>
      <c r="D385" s="31">
        <f t="shared" ca="1" si="26"/>
        <v>102.48081973268238</v>
      </c>
      <c r="E385" s="32">
        <v>37.852622419048167</v>
      </c>
      <c r="F385" s="32">
        <v>114.7096671901796</v>
      </c>
      <c r="G385" s="17"/>
      <c r="H385" s="17"/>
      <c r="I385" s="17"/>
      <c r="J385" s="17"/>
    </row>
    <row r="386" spans="3:10" x14ac:dyDescent="0.25">
      <c r="C386" s="31">
        <f t="shared" ca="1" si="26"/>
        <v>55.113123328867381</v>
      </c>
      <c r="D386" s="31">
        <f t="shared" ca="1" si="26"/>
        <v>121.22558998046388</v>
      </c>
      <c r="E386" s="32">
        <v>72.104637550450462</v>
      </c>
      <c r="F386" s="32">
        <v>101.45924257433067</v>
      </c>
      <c r="G386" s="17"/>
      <c r="H386" s="17"/>
      <c r="I386" s="17"/>
      <c r="J386" s="17"/>
    </row>
    <row r="387" spans="3:10" x14ac:dyDescent="0.25">
      <c r="C387" s="31">
        <f t="shared" ca="1" si="26"/>
        <v>34.086807442132411</v>
      </c>
      <c r="D387" s="31">
        <f t="shared" ca="1" si="26"/>
        <v>113.5214348490952</v>
      </c>
      <c r="E387" s="32">
        <v>54.004598120366261</v>
      </c>
      <c r="F387" s="32">
        <v>119.38396006357932</v>
      </c>
      <c r="G387" s="17"/>
      <c r="H387" s="17"/>
      <c r="I387" s="17"/>
      <c r="J387" s="17"/>
    </row>
    <row r="388" spans="3:10" x14ac:dyDescent="0.25">
      <c r="C388" s="31">
        <f t="shared" ca="1" si="26"/>
        <v>33.836363513384271</v>
      </c>
      <c r="D388" s="31">
        <f t="shared" ca="1" si="26"/>
        <v>115.8587752631861</v>
      </c>
      <c r="E388" s="32">
        <v>40.429073680582853</v>
      </c>
      <c r="F388" s="32">
        <v>110.97149366853236</v>
      </c>
      <c r="G388" s="17"/>
      <c r="H388" s="17"/>
      <c r="I388" s="17"/>
      <c r="J388" s="17"/>
    </row>
    <row r="389" spans="3:10" x14ac:dyDescent="0.25">
      <c r="C389" s="31">
        <f t="shared" ca="1" si="26"/>
        <v>44.781234539970256</v>
      </c>
      <c r="D389" s="31">
        <f t="shared" ca="1" si="26"/>
        <v>84.857615342822285</v>
      </c>
      <c r="E389" s="32">
        <v>78.622275166379509</v>
      </c>
      <c r="F389" s="32">
        <v>111.27883645444072</v>
      </c>
      <c r="G389" s="17"/>
      <c r="H389" s="17"/>
      <c r="I389" s="17"/>
      <c r="J389" s="17"/>
    </row>
    <row r="390" spans="3:10" x14ac:dyDescent="0.25">
      <c r="C390" s="31">
        <f t="shared" ca="1" si="26"/>
        <v>47.546511022970705</v>
      </c>
      <c r="D390" s="31">
        <f t="shared" ca="1" si="26"/>
        <v>92.64874870032709</v>
      </c>
      <c r="E390" s="32">
        <v>12.700186287692354</v>
      </c>
      <c r="F390" s="32">
        <v>111.2712786184361</v>
      </c>
      <c r="G390" s="17"/>
      <c r="H390" s="17"/>
      <c r="I390" s="17"/>
      <c r="J390" s="17"/>
    </row>
    <row r="391" spans="3:10" x14ac:dyDescent="0.25">
      <c r="C391" s="31">
        <f t="shared" ca="1" si="26"/>
        <v>15.589334900034231</v>
      </c>
      <c r="D391" s="31">
        <f t="shared" ca="1" si="26"/>
        <v>123.61225164603469</v>
      </c>
      <c r="E391" s="32">
        <v>45.010735697210535</v>
      </c>
      <c r="F391" s="32">
        <v>134.18771420427973</v>
      </c>
      <c r="G391" s="17"/>
      <c r="H391" s="17"/>
      <c r="I391" s="17"/>
      <c r="J391" s="17"/>
    </row>
    <row r="392" spans="3:10" x14ac:dyDescent="0.25">
      <c r="C392" s="31">
        <f t="shared" ca="1" si="26"/>
        <v>61.596189325298276</v>
      </c>
      <c r="D392" s="31">
        <f t="shared" ca="1" si="26"/>
        <v>101.61117367110573</v>
      </c>
      <c r="E392" s="32">
        <v>55.87778156946559</v>
      </c>
      <c r="F392" s="32">
        <v>89.855136402837047</v>
      </c>
      <c r="G392" s="17"/>
      <c r="H392" s="17"/>
      <c r="I392" s="17"/>
      <c r="J392" s="17"/>
    </row>
    <row r="393" spans="3:10" x14ac:dyDescent="0.25">
      <c r="C393" s="31">
        <f t="shared" ca="1" si="26"/>
        <v>58.571668766581965</v>
      </c>
      <c r="D393" s="31">
        <f t="shared" ca="1" si="26"/>
        <v>132.13315802363459</v>
      </c>
      <c r="E393" s="32">
        <v>7.274830853284314</v>
      </c>
      <c r="F393" s="32">
        <v>123.71127400991391</v>
      </c>
      <c r="G393" s="17"/>
      <c r="H393" s="17"/>
      <c r="I393" s="17"/>
      <c r="J393" s="17"/>
    </row>
    <row r="394" spans="3:10" x14ac:dyDescent="0.25">
      <c r="C394" s="31">
        <f t="shared" ref="C394:D413" ca="1" si="27">_xlfn.NORM.INV(RAND(),C$4,C$5)</f>
        <v>75.940471173123939</v>
      </c>
      <c r="D394" s="31">
        <f t="shared" ca="1" si="27"/>
        <v>123.06570936065927</v>
      </c>
      <c r="E394" s="32">
        <v>32.961726399938087</v>
      </c>
      <c r="F394" s="32">
        <v>126.50213140911029</v>
      </c>
      <c r="G394" s="17"/>
      <c r="H394" s="17"/>
      <c r="I394" s="17"/>
      <c r="J394" s="17"/>
    </row>
    <row r="395" spans="3:10" x14ac:dyDescent="0.25">
      <c r="C395" s="31">
        <f t="shared" ca="1" si="27"/>
        <v>33.297010342790223</v>
      </c>
      <c r="D395" s="31">
        <f t="shared" ca="1" si="27"/>
        <v>125.44149574979913</v>
      </c>
      <c r="E395" s="32">
        <v>38.285403121501815</v>
      </c>
      <c r="F395" s="32">
        <v>134.80480797646663</v>
      </c>
      <c r="G395" s="17"/>
      <c r="H395" s="17"/>
      <c r="I395" s="17"/>
      <c r="J395" s="17"/>
    </row>
    <row r="396" spans="3:10" x14ac:dyDescent="0.25">
      <c r="C396" s="31">
        <f t="shared" ca="1" si="27"/>
        <v>52.743506673643729</v>
      </c>
      <c r="D396" s="31">
        <f t="shared" ca="1" si="27"/>
        <v>111.93362127356279</v>
      </c>
      <c r="E396" s="32">
        <v>53.111582120053647</v>
      </c>
      <c r="F396" s="32">
        <v>99.925147880498116</v>
      </c>
      <c r="G396" s="17"/>
      <c r="H396" s="17"/>
      <c r="I396" s="17"/>
      <c r="J396" s="17"/>
    </row>
    <row r="397" spans="3:10" x14ac:dyDescent="0.25">
      <c r="C397" s="31">
        <f t="shared" ca="1" si="27"/>
        <v>45.368079764525255</v>
      </c>
      <c r="D397" s="31">
        <f t="shared" ca="1" si="27"/>
        <v>74.914632580179429</v>
      </c>
      <c r="E397" s="32">
        <v>54.291339631523897</v>
      </c>
      <c r="F397" s="32">
        <v>99.287465290185054</v>
      </c>
      <c r="G397" s="17"/>
      <c r="H397" s="17"/>
      <c r="I397" s="17"/>
      <c r="J397" s="17"/>
    </row>
    <row r="398" spans="3:10" x14ac:dyDescent="0.25">
      <c r="C398" s="31">
        <f t="shared" ca="1" si="27"/>
        <v>43.149162097768567</v>
      </c>
      <c r="D398" s="31">
        <f t="shared" ca="1" si="27"/>
        <v>135.84406427619061</v>
      </c>
      <c r="E398" s="32">
        <v>69.652688469771306</v>
      </c>
      <c r="F398" s="32">
        <v>124.53780760720805</v>
      </c>
      <c r="G398" s="17"/>
      <c r="H398" s="17"/>
      <c r="I398" s="17"/>
      <c r="J398" s="17"/>
    </row>
    <row r="399" spans="3:10" x14ac:dyDescent="0.25">
      <c r="C399" s="31">
        <f t="shared" ca="1" si="27"/>
        <v>58.02264684282509</v>
      </c>
      <c r="D399" s="31">
        <f t="shared" ca="1" si="27"/>
        <v>113.27661847577916</v>
      </c>
      <c r="E399" s="32">
        <v>70.39882427151619</v>
      </c>
      <c r="F399" s="32">
        <v>83.761584923440651</v>
      </c>
      <c r="G399" s="17"/>
      <c r="H399" s="17"/>
      <c r="I399" s="17"/>
      <c r="J399" s="17"/>
    </row>
    <row r="400" spans="3:10" x14ac:dyDescent="0.25">
      <c r="C400" s="31">
        <f t="shared" ca="1" si="27"/>
        <v>60.950718375374763</v>
      </c>
      <c r="D400" s="31">
        <f t="shared" ca="1" si="27"/>
        <v>103.10581962001959</v>
      </c>
      <c r="E400" s="32">
        <v>68.607099756971209</v>
      </c>
      <c r="F400" s="32">
        <v>119.98482393458693</v>
      </c>
      <c r="G400" s="17"/>
      <c r="H400" s="17"/>
      <c r="I400" s="17"/>
      <c r="J400" s="17"/>
    </row>
    <row r="401" spans="3:10" x14ac:dyDescent="0.25">
      <c r="C401" s="31">
        <f t="shared" ca="1" si="27"/>
        <v>33.414886495619498</v>
      </c>
      <c r="D401" s="31">
        <f t="shared" ca="1" si="27"/>
        <v>112.15835107903823</v>
      </c>
      <c r="E401" s="32">
        <v>37.009912724287958</v>
      </c>
      <c r="F401" s="32">
        <v>108.92841696699253</v>
      </c>
      <c r="G401" s="17"/>
      <c r="H401" s="17"/>
      <c r="I401" s="17"/>
      <c r="J401" s="17"/>
    </row>
    <row r="402" spans="3:10" x14ac:dyDescent="0.25">
      <c r="C402" s="31">
        <f t="shared" ca="1" si="27"/>
        <v>36.769542305656131</v>
      </c>
      <c r="D402" s="31">
        <f t="shared" ca="1" si="27"/>
        <v>95.946035372549034</v>
      </c>
      <c r="E402" s="32">
        <v>37.231765243472935</v>
      </c>
      <c r="F402" s="32">
        <v>118.76988144275722</v>
      </c>
      <c r="G402" s="17"/>
      <c r="H402" s="17"/>
      <c r="I402" s="17"/>
      <c r="J402" s="17"/>
    </row>
    <row r="403" spans="3:10" x14ac:dyDescent="0.25">
      <c r="C403" s="31">
        <f t="shared" ca="1" si="27"/>
        <v>34.332958266806905</v>
      </c>
      <c r="D403" s="31">
        <f t="shared" ca="1" si="27"/>
        <v>111.45771677617422</v>
      </c>
      <c r="E403" s="32">
        <v>50.596585765717926</v>
      </c>
      <c r="F403" s="32">
        <v>102.68916354821384</v>
      </c>
      <c r="G403" s="17"/>
      <c r="H403" s="17"/>
      <c r="I403" s="17"/>
      <c r="J403" s="17"/>
    </row>
    <row r="404" spans="3:10" x14ac:dyDescent="0.25">
      <c r="C404" s="31">
        <f t="shared" ca="1" si="27"/>
        <v>75.367968332874185</v>
      </c>
      <c r="D404" s="31">
        <f t="shared" ca="1" si="27"/>
        <v>100.84518888837458</v>
      </c>
      <c r="E404" s="32">
        <v>32.288762081027762</v>
      </c>
      <c r="F404" s="32">
        <v>128.03911717108227</v>
      </c>
      <c r="G404" s="17"/>
      <c r="H404" s="17"/>
      <c r="I404" s="17"/>
      <c r="J404" s="17"/>
    </row>
    <row r="405" spans="3:10" x14ac:dyDescent="0.25">
      <c r="C405" s="31">
        <f t="shared" ca="1" si="27"/>
        <v>71.516695769508033</v>
      </c>
      <c r="D405" s="31">
        <f t="shared" ca="1" si="27"/>
        <v>93.394451712610163</v>
      </c>
      <c r="E405" s="32">
        <v>81.977047403341516</v>
      </c>
      <c r="F405" s="32">
        <v>102.41110329606524</v>
      </c>
      <c r="G405" s="17"/>
      <c r="H405" s="17"/>
      <c r="I405" s="17"/>
      <c r="J405" s="17"/>
    </row>
    <row r="406" spans="3:10" x14ac:dyDescent="0.25">
      <c r="C406" s="31">
        <f t="shared" ca="1" si="27"/>
        <v>91.124388403813953</v>
      </c>
      <c r="D406" s="31">
        <f t="shared" ca="1" si="27"/>
        <v>115.68248381589751</v>
      </c>
      <c r="E406" s="32">
        <v>48.083052729078574</v>
      </c>
      <c r="F406" s="32">
        <v>97.137557105102928</v>
      </c>
      <c r="G406" s="17"/>
      <c r="H406" s="17"/>
      <c r="I406" s="17"/>
      <c r="J406" s="17"/>
    </row>
    <row r="407" spans="3:10" x14ac:dyDescent="0.25">
      <c r="C407" s="31">
        <f t="shared" ca="1" si="27"/>
        <v>57.924280892493485</v>
      </c>
      <c r="D407" s="31">
        <f t="shared" ca="1" si="27"/>
        <v>89.575849253138344</v>
      </c>
      <c r="E407" s="32">
        <v>62.97683032381552</v>
      </c>
      <c r="F407" s="32">
        <v>117.28685885545579</v>
      </c>
      <c r="G407" s="17"/>
      <c r="H407" s="17"/>
      <c r="I407" s="17"/>
      <c r="J407" s="17"/>
    </row>
    <row r="408" spans="3:10" x14ac:dyDescent="0.25">
      <c r="C408" s="31">
        <f t="shared" ca="1" si="27"/>
        <v>76.235108095465449</v>
      </c>
      <c r="D408" s="31">
        <f t="shared" ca="1" si="27"/>
        <v>121.8906675051817</v>
      </c>
      <c r="E408" s="32">
        <v>27.227012769260828</v>
      </c>
      <c r="F408" s="32">
        <v>100.62193265709247</v>
      </c>
      <c r="G408" s="17"/>
      <c r="H408" s="17"/>
      <c r="I408" s="17"/>
      <c r="J408" s="17"/>
    </row>
    <row r="409" spans="3:10" x14ac:dyDescent="0.25">
      <c r="C409" s="31">
        <f t="shared" ca="1" si="27"/>
        <v>48.642167111493549</v>
      </c>
      <c r="D409" s="31">
        <f t="shared" ca="1" si="27"/>
        <v>113.20231057241863</v>
      </c>
      <c r="E409" s="32">
        <v>52.276326534446333</v>
      </c>
      <c r="F409" s="32">
        <v>134.55133999545927</v>
      </c>
      <c r="G409" s="17"/>
      <c r="H409" s="17"/>
      <c r="I409" s="17"/>
      <c r="J409" s="17"/>
    </row>
    <row r="410" spans="3:10" x14ac:dyDescent="0.25">
      <c r="C410" s="31">
        <f t="shared" ca="1" si="27"/>
        <v>58.831735340580892</v>
      </c>
      <c r="D410" s="31">
        <f t="shared" ca="1" si="27"/>
        <v>111.16226795410351</v>
      </c>
      <c r="E410" s="32">
        <v>20.4611951792097</v>
      </c>
      <c r="F410" s="32">
        <v>86.969290491044902</v>
      </c>
      <c r="G410" s="17"/>
      <c r="H410" s="17"/>
      <c r="I410" s="17"/>
      <c r="J410" s="17"/>
    </row>
    <row r="411" spans="3:10" x14ac:dyDescent="0.25">
      <c r="C411" s="31">
        <f t="shared" ca="1" si="27"/>
        <v>34.126283843625856</v>
      </c>
      <c r="D411" s="31">
        <f t="shared" ca="1" si="27"/>
        <v>101.78560023760384</v>
      </c>
      <c r="E411" s="32">
        <v>14.001586506017119</v>
      </c>
      <c r="F411" s="32">
        <v>123.59246036973592</v>
      </c>
      <c r="G411" s="17"/>
      <c r="H411" s="17"/>
      <c r="I411" s="17"/>
      <c r="J411" s="17"/>
    </row>
    <row r="412" spans="3:10" x14ac:dyDescent="0.25">
      <c r="C412" s="31">
        <f t="shared" ca="1" si="27"/>
        <v>69.390013024788914</v>
      </c>
      <c r="D412" s="31">
        <f t="shared" ca="1" si="27"/>
        <v>112.24371132291219</v>
      </c>
      <c r="E412" s="32">
        <v>58.568986868179053</v>
      </c>
      <c r="F412" s="32">
        <v>76.77102214562268</v>
      </c>
      <c r="G412" s="17"/>
      <c r="H412" s="17"/>
      <c r="I412" s="17"/>
      <c r="J412" s="17"/>
    </row>
    <row r="413" spans="3:10" x14ac:dyDescent="0.25">
      <c r="C413" s="31">
        <f t="shared" ca="1" si="27"/>
        <v>34.232252791409628</v>
      </c>
      <c r="D413" s="31">
        <f t="shared" ca="1" si="27"/>
        <v>117.31250430711033</v>
      </c>
      <c r="E413" s="32">
        <v>56.496456671122516</v>
      </c>
      <c r="F413" s="32">
        <v>123.98916657072266</v>
      </c>
      <c r="G413" s="17"/>
      <c r="H413" s="17"/>
      <c r="I413" s="17"/>
      <c r="J413" s="17"/>
    </row>
    <row r="414" spans="3:10" x14ac:dyDescent="0.25">
      <c r="C414" s="31">
        <f t="shared" ref="C414:D433" ca="1" si="28">_xlfn.NORM.INV(RAND(),C$4,C$5)</f>
        <v>34.359340959715652</v>
      </c>
      <c r="D414" s="31">
        <f t="shared" ca="1" si="28"/>
        <v>116.88972290825326</v>
      </c>
      <c r="E414" s="32">
        <v>89.795378681660225</v>
      </c>
      <c r="F414" s="32">
        <v>103.00435351283132</v>
      </c>
      <c r="G414" s="17"/>
      <c r="H414" s="17"/>
      <c r="I414" s="17"/>
      <c r="J414" s="17"/>
    </row>
    <row r="415" spans="3:10" x14ac:dyDescent="0.25">
      <c r="C415" s="31">
        <f t="shared" ca="1" si="28"/>
        <v>57.072715945608245</v>
      </c>
      <c r="D415" s="31">
        <f t="shared" ca="1" si="28"/>
        <v>106.67885406492151</v>
      </c>
      <c r="E415" s="32">
        <v>70.907109563293517</v>
      </c>
      <c r="F415" s="32">
        <v>98.728001400347651</v>
      </c>
      <c r="G415" s="17"/>
      <c r="H415" s="17"/>
      <c r="I415" s="17"/>
      <c r="J415" s="17"/>
    </row>
    <row r="416" spans="3:10" x14ac:dyDescent="0.25">
      <c r="C416" s="31">
        <f t="shared" ca="1" si="28"/>
        <v>49.315111948810888</v>
      </c>
      <c r="D416" s="31">
        <f t="shared" ca="1" si="28"/>
        <v>118.36981584038868</v>
      </c>
      <c r="E416" s="32">
        <v>88.18924496825025</v>
      </c>
      <c r="F416" s="32">
        <v>106.46125989981822</v>
      </c>
      <c r="G416" s="17"/>
      <c r="H416" s="17"/>
      <c r="I416" s="17"/>
      <c r="J416" s="17"/>
    </row>
    <row r="417" spans="3:10" x14ac:dyDescent="0.25">
      <c r="C417" s="31">
        <f t="shared" ca="1" si="28"/>
        <v>41.77741366102326</v>
      </c>
      <c r="D417" s="31">
        <f t="shared" ca="1" si="28"/>
        <v>92.91987501071813</v>
      </c>
      <c r="E417" s="32">
        <v>72.881946090499369</v>
      </c>
      <c r="F417" s="32">
        <v>134.24923207418394</v>
      </c>
      <c r="G417" s="17"/>
      <c r="H417" s="17"/>
      <c r="I417" s="17"/>
      <c r="J417" s="17"/>
    </row>
    <row r="418" spans="3:10" x14ac:dyDescent="0.25">
      <c r="C418" s="31">
        <f t="shared" ca="1" si="28"/>
        <v>34.659099778482556</v>
      </c>
      <c r="D418" s="31">
        <f t="shared" ca="1" si="28"/>
        <v>111.85709702189321</v>
      </c>
      <c r="E418" s="32">
        <v>45.883190699923418</v>
      </c>
      <c r="F418" s="32">
        <v>101.39584693332235</v>
      </c>
      <c r="G418" s="17"/>
      <c r="H418" s="17"/>
      <c r="I418" s="17"/>
      <c r="J418" s="17"/>
    </row>
    <row r="419" spans="3:10" x14ac:dyDescent="0.25">
      <c r="C419" s="31">
        <f t="shared" ca="1" si="28"/>
        <v>76.205641090217171</v>
      </c>
      <c r="D419" s="31">
        <f t="shared" ca="1" si="28"/>
        <v>93.691660112033304</v>
      </c>
      <c r="E419" s="32">
        <v>82.54039090092553</v>
      </c>
      <c r="F419" s="32">
        <v>104.13971655282023</v>
      </c>
      <c r="G419" s="17"/>
      <c r="H419" s="17"/>
      <c r="I419" s="17"/>
      <c r="J419" s="17"/>
    </row>
    <row r="420" spans="3:10" x14ac:dyDescent="0.25">
      <c r="C420" s="31">
        <f t="shared" ca="1" si="28"/>
        <v>47.282815694350177</v>
      </c>
      <c r="D420" s="31">
        <f t="shared" ca="1" si="28"/>
        <v>128.97132100805172</v>
      </c>
      <c r="E420" s="32">
        <v>64.63358514231706</v>
      </c>
      <c r="F420" s="32">
        <v>128.05426158383489</v>
      </c>
      <c r="G420" s="17"/>
      <c r="H420" s="17"/>
      <c r="I420" s="17"/>
      <c r="J420" s="17"/>
    </row>
    <row r="421" spans="3:10" x14ac:dyDescent="0.25">
      <c r="C421" s="31">
        <f t="shared" ca="1" si="28"/>
        <v>56.352660329474759</v>
      </c>
      <c r="D421" s="31">
        <f t="shared" ca="1" si="28"/>
        <v>119.46227592700545</v>
      </c>
      <c r="E421" s="32">
        <v>31.97010065642456</v>
      </c>
      <c r="F421" s="32">
        <v>109.19096255850344</v>
      </c>
      <c r="G421" s="17"/>
      <c r="H421" s="17"/>
      <c r="I421" s="17"/>
      <c r="J421" s="17"/>
    </row>
    <row r="422" spans="3:10" x14ac:dyDescent="0.25">
      <c r="C422" s="31">
        <f t="shared" ca="1" si="28"/>
        <v>20.001215369171799</v>
      </c>
      <c r="D422" s="31">
        <f t="shared" ca="1" si="28"/>
        <v>111.98177303192369</v>
      </c>
      <c r="E422" s="32">
        <v>50.326292466809086</v>
      </c>
      <c r="F422" s="32">
        <v>105.49908794930718</v>
      </c>
      <c r="G422" s="17"/>
      <c r="H422" s="17"/>
      <c r="I422" s="17"/>
      <c r="J422" s="17"/>
    </row>
    <row r="423" spans="3:10" x14ac:dyDescent="0.25">
      <c r="C423" s="31">
        <f t="shared" ca="1" si="28"/>
        <v>29.285924283480121</v>
      </c>
      <c r="D423" s="31">
        <f t="shared" ca="1" si="28"/>
        <v>104.70013709422032</v>
      </c>
      <c r="E423" s="32">
        <v>12.430139045954121</v>
      </c>
      <c r="F423" s="32">
        <v>112.28754314191858</v>
      </c>
      <c r="G423" s="17"/>
      <c r="H423" s="17"/>
      <c r="I423" s="17"/>
      <c r="J423" s="17"/>
    </row>
    <row r="424" spans="3:10" x14ac:dyDescent="0.25">
      <c r="C424" s="31">
        <f t="shared" ca="1" si="28"/>
        <v>53.881964554670631</v>
      </c>
      <c r="D424" s="31">
        <f t="shared" ca="1" si="28"/>
        <v>107.06416288539069</v>
      </c>
      <c r="E424" s="32">
        <v>28.103257444037979</v>
      </c>
      <c r="F424" s="32">
        <v>102.92148531839415</v>
      </c>
      <c r="G424" s="17"/>
      <c r="H424" s="17"/>
      <c r="I424" s="17"/>
      <c r="J424" s="17"/>
    </row>
    <row r="425" spans="3:10" x14ac:dyDescent="0.25">
      <c r="C425" s="31">
        <f t="shared" ca="1" si="28"/>
        <v>51.208842344916114</v>
      </c>
      <c r="D425" s="31">
        <f t="shared" ca="1" si="28"/>
        <v>113.31542136161396</v>
      </c>
      <c r="E425" s="32">
        <v>72.625701842988775</v>
      </c>
      <c r="F425" s="32">
        <v>122.52332960997273</v>
      </c>
      <c r="G425" s="17"/>
      <c r="H425" s="17"/>
      <c r="I425" s="17"/>
      <c r="J425" s="17"/>
    </row>
    <row r="426" spans="3:10" x14ac:dyDescent="0.25">
      <c r="C426" s="31">
        <f t="shared" ca="1" si="28"/>
        <v>47.917279859257967</v>
      </c>
      <c r="D426" s="31">
        <f t="shared" ca="1" si="28"/>
        <v>123.99222122930796</v>
      </c>
      <c r="E426" s="32">
        <v>43.543867923572215</v>
      </c>
      <c r="F426" s="32">
        <v>107.26897580820139</v>
      </c>
      <c r="G426" s="17"/>
      <c r="H426" s="17"/>
      <c r="I426" s="17"/>
      <c r="J426" s="17"/>
    </row>
    <row r="427" spans="3:10" x14ac:dyDescent="0.25">
      <c r="C427" s="31">
        <f t="shared" ca="1" si="28"/>
        <v>59.463156452364387</v>
      </c>
      <c r="D427" s="31">
        <f t="shared" ca="1" si="28"/>
        <v>104.39109010825</v>
      </c>
      <c r="E427" s="32">
        <v>51.532560582314666</v>
      </c>
      <c r="F427" s="32">
        <v>110.83719571491483</v>
      </c>
      <c r="G427" s="17"/>
      <c r="H427" s="17"/>
      <c r="I427" s="17"/>
      <c r="J427" s="17"/>
    </row>
    <row r="428" spans="3:10" x14ac:dyDescent="0.25">
      <c r="C428" s="31">
        <f t="shared" ca="1" si="28"/>
        <v>66.241230568274673</v>
      </c>
      <c r="D428" s="31">
        <f t="shared" ca="1" si="28"/>
        <v>94.371034977212119</v>
      </c>
      <c r="E428" s="32">
        <v>57.669715067876254</v>
      </c>
      <c r="F428" s="32">
        <v>92.522989483253028</v>
      </c>
      <c r="G428" s="17"/>
      <c r="H428" s="17"/>
      <c r="I428" s="17"/>
      <c r="J428" s="17"/>
    </row>
    <row r="429" spans="3:10" x14ac:dyDescent="0.25">
      <c r="C429" s="31">
        <f t="shared" ca="1" si="28"/>
        <v>114.31584187944378</v>
      </c>
      <c r="D429" s="31">
        <f t="shared" ca="1" si="28"/>
        <v>98.690451348928462</v>
      </c>
      <c r="E429" s="32">
        <v>37.798509155032548</v>
      </c>
      <c r="F429" s="32">
        <v>125.7338402879181</v>
      </c>
      <c r="G429" s="17"/>
      <c r="H429" s="17"/>
      <c r="I429" s="17"/>
      <c r="J429" s="17"/>
    </row>
    <row r="430" spans="3:10" x14ac:dyDescent="0.25">
      <c r="C430" s="31">
        <f t="shared" ca="1" si="28"/>
        <v>22.390746087081535</v>
      </c>
      <c r="D430" s="31">
        <f t="shared" ca="1" si="28"/>
        <v>104.16496629094875</v>
      </c>
      <c r="E430" s="32">
        <v>53.346163475273087</v>
      </c>
      <c r="F430" s="32">
        <v>96.6232810909638</v>
      </c>
      <c r="G430" s="17"/>
      <c r="H430" s="17"/>
      <c r="I430" s="17"/>
      <c r="J430" s="17"/>
    </row>
    <row r="431" spans="3:10" x14ac:dyDescent="0.25">
      <c r="C431" s="31">
        <f t="shared" ca="1" si="28"/>
        <v>32.558615769207393</v>
      </c>
      <c r="D431" s="31">
        <f t="shared" ca="1" si="28"/>
        <v>97.823008466539008</v>
      </c>
      <c r="E431" s="32">
        <v>60.520701930993809</v>
      </c>
      <c r="F431" s="32">
        <v>130.55036787239587</v>
      </c>
      <c r="G431" s="17"/>
      <c r="H431" s="17"/>
      <c r="I431" s="17"/>
      <c r="J431" s="17"/>
    </row>
    <row r="432" spans="3:10" x14ac:dyDescent="0.25">
      <c r="C432" s="31">
        <f t="shared" ca="1" si="28"/>
        <v>56.911705162094087</v>
      </c>
      <c r="D432" s="31">
        <f t="shared" ca="1" si="28"/>
        <v>107.59670644054252</v>
      </c>
      <c r="E432" s="32">
        <v>24.809811353616904</v>
      </c>
      <c r="F432" s="32">
        <v>115.95471077748698</v>
      </c>
      <c r="G432" s="17"/>
      <c r="H432" s="17"/>
      <c r="I432" s="17"/>
      <c r="J432" s="17"/>
    </row>
    <row r="433" spans="3:10" x14ac:dyDescent="0.25">
      <c r="C433" s="31">
        <f t="shared" ca="1" si="28"/>
        <v>37.755769195983035</v>
      </c>
      <c r="D433" s="31">
        <f t="shared" ca="1" si="28"/>
        <v>119.64045460711905</v>
      </c>
      <c r="E433" s="32">
        <v>52.409859605780305</v>
      </c>
      <c r="F433" s="32">
        <v>100.54789414163069</v>
      </c>
      <c r="G433" s="17"/>
      <c r="H433" s="17"/>
      <c r="I433" s="17"/>
      <c r="J433" s="17"/>
    </row>
    <row r="434" spans="3:10" x14ac:dyDescent="0.25">
      <c r="C434" s="31">
        <f t="shared" ref="C434:D453" ca="1" si="29">_xlfn.NORM.INV(RAND(),C$4,C$5)</f>
        <v>43.58489852379676</v>
      </c>
      <c r="D434" s="31">
        <f t="shared" ca="1" si="29"/>
        <v>130.54029850329266</v>
      </c>
      <c r="E434" s="32">
        <v>95.142719167870268</v>
      </c>
      <c r="F434" s="32">
        <v>102.62932419916721</v>
      </c>
      <c r="G434" s="17"/>
      <c r="H434" s="17"/>
      <c r="I434" s="17"/>
      <c r="J434" s="17"/>
    </row>
    <row r="435" spans="3:10" x14ac:dyDescent="0.25">
      <c r="C435" s="31">
        <f t="shared" ca="1" si="29"/>
        <v>29.79131886771119</v>
      </c>
      <c r="D435" s="31">
        <f t="shared" ca="1" si="29"/>
        <v>116.18035788117388</v>
      </c>
      <c r="E435" s="32">
        <v>61.642029359206816</v>
      </c>
      <c r="F435" s="32">
        <v>91.955487271910926</v>
      </c>
      <c r="G435" s="17"/>
      <c r="H435" s="17"/>
      <c r="I435" s="17"/>
      <c r="J435" s="17"/>
    </row>
    <row r="436" spans="3:10" x14ac:dyDescent="0.25">
      <c r="C436" s="31">
        <f t="shared" ca="1" si="29"/>
        <v>50.504288521402444</v>
      </c>
      <c r="D436" s="31">
        <f t="shared" ca="1" si="29"/>
        <v>106.07452594415017</v>
      </c>
      <c r="E436" s="32">
        <v>45.04630801923296</v>
      </c>
      <c r="F436" s="32">
        <v>114.53783637447016</v>
      </c>
      <c r="G436" s="17"/>
      <c r="H436" s="17"/>
      <c r="I436" s="17"/>
      <c r="J436" s="17"/>
    </row>
    <row r="437" spans="3:10" x14ac:dyDescent="0.25">
      <c r="C437" s="31">
        <f t="shared" ca="1" si="29"/>
        <v>84.644399154064288</v>
      </c>
      <c r="D437" s="31">
        <f t="shared" ca="1" si="29"/>
        <v>122.19230632055712</v>
      </c>
      <c r="E437" s="32">
        <v>82.279106072363973</v>
      </c>
      <c r="F437" s="32">
        <v>136.9990201704081</v>
      </c>
      <c r="G437" s="17"/>
      <c r="H437" s="17"/>
      <c r="I437" s="17"/>
      <c r="J437" s="17"/>
    </row>
    <row r="438" spans="3:10" x14ac:dyDescent="0.25">
      <c r="C438" s="31">
        <f t="shared" ca="1" si="29"/>
        <v>69.552058637344729</v>
      </c>
      <c r="D438" s="31">
        <f t="shared" ca="1" si="29"/>
        <v>88.900084515715662</v>
      </c>
      <c r="E438" s="32">
        <v>57.432002579818977</v>
      </c>
      <c r="F438" s="32">
        <v>104.41757390681454</v>
      </c>
      <c r="G438" s="17"/>
      <c r="H438" s="17"/>
      <c r="I438" s="17"/>
      <c r="J438" s="17"/>
    </row>
    <row r="439" spans="3:10" x14ac:dyDescent="0.25">
      <c r="C439" s="31">
        <f t="shared" ca="1" si="29"/>
        <v>29.591339490398344</v>
      </c>
      <c r="D439" s="31">
        <f t="shared" ca="1" si="29"/>
        <v>106.9571426696689</v>
      </c>
      <c r="E439" s="32">
        <v>21.903510395935523</v>
      </c>
      <c r="F439" s="32">
        <v>98.658383203388681</v>
      </c>
      <c r="G439" s="17"/>
      <c r="H439" s="17"/>
      <c r="I439" s="17"/>
      <c r="J439" s="17"/>
    </row>
    <row r="440" spans="3:10" x14ac:dyDescent="0.25">
      <c r="C440" s="31">
        <f t="shared" ca="1" si="29"/>
        <v>69.292651332297424</v>
      </c>
      <c r="D440" s="31">
        <f t="shared" ca="1" si="29"/>
        <v>111.96377185787199</v>
      </c>
      <c r="E440" s="32">
        <v>66.12066963665373</v>
      </c>
      <c r="F440" s="32">
        <v>113.55899686787313</v>
      </c>
      <c r="G440" s="17"/>
      <c r="H440" s="17"/>
      <c r="I440" s="17"/>
      <c r="J440" s="17"/>
    </row>
    <row r="441" spans="3:10" x14ac:dyDescent="0.25">
      <c r="C441" s="31">
        <f t="shared" ca="1" si="29"/>
        <v>56.250639034534665</v>
      </c>
      <c r="D441" s="31">
        <f t="shared" ca="1" si="29"/>
        <v>95.523159142517713</v>
      </c>
      <c r="E441" s="32">
        <v>39.029256991732424</v>
      </c>
      <c r="F441" s="32">
        <v>117.8454318112655</v>
      </c>
      <c r="G441" s="17"/>
      <c r="H441" s="17"/>
      <c r="I441" s="17"/>
      <c r="J441" s="17"/>
    </row>
    <row r="442" spans="3:10" x14ac:dyDescent="0.25">
      <c r="C442" s="31">
        <f t="shared" ca="1" si="29"/>
        <v>70.373363449088316</v>
      </c>
      <c r="D442" s="31">
        <f t="shared" ca="1" si="29"/>
        <v>119.6222217894581</v>
      </c>
      <c r="E442" s="32">
        <v>79.869996025768984</v>
      </c>
      <c r="F442" s="32">
        <v>127.96971889406616</v>
      </c>
      <c r="G442" s="17"/>
      <c r="H442" s="17"/>
      <c r="I442" s="17"/>
      <c r="J442" s="17"/>
    </row>
    <row r="443" spans="3:10" x14ac:dyDescent="0.25">
      <c r="C443" s="31">
        <f t="shared" ca="1" si="29"/>
        <v>43.449294466765942</v>
      </c>
      <c r="D443" s="31">
        <f t="shared" ca="1" si="29"/>
        <v>121.42076512498873</v>
      </c>
      <c r="E443" s="32">
        <v>40.445062826682118</v>
      </c>
      <c r="F443" s="32">
        <v>104.51120043873625</v>
      </c>
      <c r="G443" s="17"/>
      <c r="H443" s="17"/>
      <c r="I443" s="17"/>
      <c r="J443" s="17"/>
    </row>
    <row r="444" spans="3:10" x14ac:dyDescent="0.25">
      <c r="C444" s="31">
        <f t="shared" ca="1" si="29"/>
        <v>28.956740269670473</v>
      </c>
      <c r="D444" s="31">
        <f t="shared" ca="1" si="29"/>
        <v>104.91302445550403</v>
      </c>
      <c r="E444" s="32">
        <v>49.976560926894251</v>
      </c>
      <c r="F444" s="32">
        <v>114.00596579395874</v>
      </c>
      <c r="G444" s="17"/>
      <c r="H444" s="17"/>
      <c r="I444" s="17"/>
      <c r="J444" s="17"/>
    </row>
    <row r="445" spans="3:10" x14ac:dyDescent="0.25">
      <c r="C445" s="31">
        <f t="shared" ca="1" si="29"/>
        <v>63.320088629732581</v>
      </c>
      <c r="D445" s="31">
        <f t="shared" ca="1" si="29"/>
        <v>110.26419213948577</v>
      </c>
      <c r="E445" s="32">
        <v>25.34601060834391</v>
      </c>
      <c r="F445" s="32">
        <v>113.29443604780739</v>
      </c>
      <c r="G445" s="17"/>
      <c r="H445" s="17"/>
      <c r="I445" s="17"/>
      <c r="J445" s="17"/>
    </row>
    <row r="446" spans="3:10" x14ac:dyDescent="0.25">
      <c r="C446" s="31">
        <f t="shared" ca="1" si="29"/>
        <v>46.191200999699049</v>
      </c>
      <c r="D446" s="31">
        <f t="shared" ca="1" si="29"/>
        <v>92.331771244183159</v>
      </c>
      <c r="E446" s="32">
        <v>41.871444090873943</v>
      </c>
      <c r="F446" s="32">
        <v>110.72759978761131</v>
      </c>
      <c r="G446" s="17"/>
      <c r="H446" s="17"/>
      <c r="I446" s="17"/>
      <c r="J446" s="17"/>
    </row>
    <row r="447" spans="3:10" x14ac:dyDescent="0.25">
      <c r="C447" s="31">
        <f t="shared" ca="1" si="29"/>
        <v>37.160877890221492</v>
      </c>
      <c r="D447" s="31">
        <f t="shared" ca="1" si="29"/>
        <v>124.07631802563483</v>
      </c>
      <c r="E447" s="32">
        <v>50.314643022900249</v>
      </c>
      <c r="F447" s="32">
        <v>117.89689644743717</v>
      </c>
      <c r="G447" s="17"/>
      <c r="H447" s="17"/>
      <c r="I447" s="17"/>
      <c r="J447" s="17"/>
    </row>
    <row r="448" spans="3:10" x14ac:dyDescent="0.25">
      <c r="C448" s="31">
        <f t="shared" ca="1" si="29"/>
        <v>33.352827510287575</v>
      </c>
      <c r="D448" s="31">
        <f t="shared" ca="1" si="29"/>
        <v>99.24091791203233</v>
      </c>
      <c r="E448" s="32">
        <v>50.644593230959572</v>
      </c>
      <c r="F448" s="32">
        <v>122.17274992668649</v>
      </c>
      <c r="G448" s="17"/>
      <c r="H448" s="17"/>
      <c r="I448" s="17"/>
      <c r="J448" s="17"/>
    </row>
    <row r="449" spans="3:10" x14ac:dyDescent="0.25">
      <c r="C449" s="31">
        <f t="shared" ca="1" si="29"/>
        <v>55.924191223597141</v>
      </c>
      <c r="D449" s="31">
        <f t="shared" ca="1" si="29"/>
        <v>123.68069005515088</v>
      </c>
      <c r="E449" s="32">
        <v>78.887759948640678</v>
      </c>
      <c r="F449" s="32">
        <v>120.35950541033063</v>
      </c>
      <c r="G449" s="17"/>
      <c r="H449" s="17"/>
      <c r="I449" s="17"/>
      <c r="J449" s="17"/>
    </row>
    <row r="450" spans="3:10" x14ac:dyDescent="0.25">
      <c r="C450" s="31">
        <f t="shared" ca="1" si="29"/>
        <v>68.459887714654414</v>
      </c>
      <c r="D450" s="31">
        <f t="shared" ca="1" si="29"/>
        <v>101.06483914609804</v>
      </c>
      <c r="E450" s="32">
        <v>50.263602908344048</v>
      </c>
      <c r="F450" s="32">
        <v>121.72464035386888</v>
      </c>
      <c r="G450" s="17"/>
      <c r="H450" s="17"/>
      <c r="I450" s="17"/>
      <c r="J450" s="17"/>
    </row>
    <row r="451" spans="3:10" x14ac:dyDescent="0.25">
      <c r="C451" s="31">
        <f t="shared" ca="1" si="29"/>
        <v>36.631026355669356</v>
      </c>
      <c r="D451" s="31">
        <f t="shared" ca="1" si="29"/>
        <v>97.006895507968693</v>
      </c>
      <c r="E451" s="32">
        <v>52.759296594514836</v>
      </c>
      <c r="F451" s="32">
        <v>125.71108762504159</v>
      </c>
      <c r="G451" s="17"/>
      <c r="H451" s="17"/>
      <c r="I451" s="17"/>
      <c r="J451" s="17"/>
    </row>
    <row r="452" spans="3:10" x14ac:dyDescent="0.25">
      <c r="C452" s="31">
        <f t="shared" ca="1" si="29"/>
        <v>54.862874250431759</v>
      </c>
      <c r="D452" s="31">
        <f t="shared" ca="1" si="29"/>
        <v>106.39700996640438</v>
      </c>
      <c r="E452" s="32">
        <v>33.403756987830867</v>
      </c>
      <c r="F452" s="32">
        <v>106.83067383895109</v>
      </c>
      <c r="G452" s="17"/>
      <c r="H452" s="17"/>
      <c r="I452" s="17"/>
      <c r="J452" s="17"/>
    </row>
    <row r="453" spans="3:10" x14ac:dyDescent="0.25">
      <c r="C453" s="31">
        <f t="shared" ca="1" si="29"/>
        <v>76.099348028727007</v>
      </c>
      <c r="D453" s="31">
        <f t="shared" ca="1" si="29"/>
        <v>107.20491214507619</v>
      </c>
      <c r="E453" s="32">
        <v>50.599844689838648</v>
      </c>
      <c r="F453" s="32">
        <v>104.50307457733878</v>
      </c>
      <c r="G453" s="17"/>
      <c r="H453" s="17"/>
      <c r="I453" s="17"/>
      <c r="J453" s="17"/>
    </row>
    <row r="454" spans="3:10" x14ac:dyDescent="0.25">
      <c r="C454" s="31">
        <f t="shared" ref="C454:D473" ca="1" si="30">_xlfn.NORM.INV(RAND(),C$4,C$5)</f>
        <v>54.239224143180508</v>
      </c>
      <c r="D454" s="31">
        <f t="shared" ca="1" si="30"/>
        <v>105.81500818602962</v>
      </c>
      <c r="E454" s="32">
        <v>31.08182067909727</v>
      </c>
      <c r="F454" s="32">
        <v>124.65999099723106</v>
      </c>
      <c r="G454" s="17"/>
      <c r="H454" s="17"/>
      <c r="I454" s="17"/>
      <c r="J454" s="17"/>
    </row>
    <row r="455" spans="3:10" x14ac:dyDescent="0.25">
      <c r="C455" s="31">
        <f t="shared" ca="1" si="30"/>
        <v>64.732874421512022</v>
      </c>
      <c r="D455" s="31">
        <f t="shared" ca="1" si="30"/>
        <v>106.78645924315153</v>
      </c>
      <c r="E455" s="32">
        <v>64.464437159262559</v>
      </c>
      <c r="F455" s="32">
        <v>96.237564101363716</v>
      </c>
      <c r="G455" s="17"/>
      <c r="H455" s="17"/>
      <c r="I455" s="17"/>
      <c r="J455" s="17"/>
    </row>
    <row r="456" spans="3:10" x14ac:dyDescent="0.25">
      <c r="C456" s="31">
        <f t="shared" ca="1" si="30"/>
        <v>70.938330893870187</v>
      </c>
      <c r="D456" s="31">
        <f t="shared" ca="1" si="30"/>
        <v>86.899284966022819</v>
      </c>
      <c r="E456" s="32">
        <v>15.066038696472873</v>
      </c>
      <c r="F456" s="32">
        <v>125.94872675696023</v>
      </c>
      <c r="G456" s="17"/>
      <c r="H456" s="17"/>
      <c r="I456" s="17"/>
      <c r="J456" s="17"/>
    </row>
    <row r="457" spans="3:10" x14ac:dyDescent="0.25">
      <c r="C457" s="31">
        <f t="shared" ca="1" si="30"/>
        <v>69.950617650977762</v>
      </c>
      <c r="D457" s="31">
        <f t="shared" ca="1" si="30"/>
        <v>123.84973300963824</v>
      </c>
      <c r="E457" s="32">
        <v>49.272426459040851</v>
      </c>
      <c r="F457" s="32">
        <v>110.14040915691872</v>
      </c>
      <c r="G457" s="17"/>
      <c r="H457" s="17"/>
      <c r="I457" s="17"/>
      <c r="J457" s="17"/>
    </row>
    <row r="458" spans="3:10" x14ac:dyDescent="0.25">
      <c r="C458" s="31">
        <f t="shared" ca="1" si="30"/>
        <v>75.361903218737666</v>
      </c>
      <c r="D458" s="31">
        <f t="shared" ca="1" si="30"/>
        <v>121.08808411241159</v>
      </c>
      <c r="E458" s="32">
        <v>42.896210125483407</v>
      </c>
      <c r="F458" s="32">
        <v>121.72748683026532</v>
      </c>
      <c r="G458" s="17"/>
      <c r="H458" s="17"/>
      <c r="I458" s="17"/>
      <c r="J458" s="17"/>
    </row>
    <row r="459" spans="3:10" x14ac:dyDescent="0.25">
      <c r="C459" s="31">
        <f t="shared" ca="1" si="30"/>
        <v>48.24391678098555</v>
      </c>
      <c r="D459" s="31">
        <f t="shared" ca="1" si="30"/>
        <v>137.8622211480604</v>
      </c>
      <c r="E459" s="32">
        <v>40.661482652242718</v>
      </c>
      <c r="F459" s="32">
        <v>91.661675092084252</v>
      </c>
      <c r="G459" s="17"/>
      <c r="H459" s="17"/>
      <c r="I459" s="17"/>
      <c r="J459" s="17"/>
    </row>
    <row r="460" spans="3:10" x14ac:dyDescent="0.25">
      <c r="C460" s="31">
        <f t="shared" ca="1" si="30"/>
        <v>59.200808895770166</v>
      </c>
      <c r="D460" s="31">
        <f t="shared" ca="1" si="30"/>
        <v>107.96894289569893</v>
      </c>
      <c r="E460" s="32">
        <v>60.992893520492686</v>
      </c>
      <c r="F460" s="32">
        <v>122.5165217387586</v>
      </c>
      <c r="G460" s="17"/>
      <c r="H460" s="17"/>
      <c r="I460" s="17"/>
      <c r="J460" s="17"/>
    </row>
    <row r="461" spans="3:10" x14ac:dyDescent="0.25">
      <c r="C461" s="31">
        <f t="shared" ca="1" si="30"/>
        <v>44.727459935024754</v>
      </c>
      <c r="D461" s="31">
        <f t="shared" ca="1" si="30"/>
        <v>108.48871108330924</v>
      </c>
      <c r="E461" s="32">
        <v>13.294755970897398</v>
      </c>
      <c r="F461" s="32">
        <v>112.7636863268814</v>
      </c>
      <c r="G461" s="17"/>
      <c r="H461" s="17"/>
      <c r="I461" s="17"/>
      <c r="J461" s="17"/>
    </row>
    <row r="462" spans="3:10" x14ac:dyDescent="0.25">
      <c r="C462" s="31">
        <f t="shared" ca="1" si="30"/>
        <v>23.477818878056254</v>
      </c>
      <c r="D462" s="31">
        <f t="shared" ca="1" si="30"/>
        <v>138.71775584991428</v>
      </c>
      <c r="E462" s="32">
        <v>40.51148033064139</v>
      </c>
      <c r="F462" s="32">
        <v>98.384828915578225</v>
      </c>
      <c r="G462" s="17"/>
      <c r="H462" s="17"/>
      <c r="I462" s="17"/>
      <c r="J462" s="17"/>
    </row>
    <row r="463" spans="3:10" x14ac:dyDescent="0.25">
      <c r="C463" s="31">
        <f t="shared" ca="1" si="30"/>
        <v>52.494238918133</v>
      </c>
      <c r="D463" s="31">
        <f t="shared" ca="1" si="30"/>
        <v>77.299226811805042</v>
      </c>
      <c r="E463" s="32">
        <v>25.435725058535382</v>
      </c>
      <c r="F463" s="32">
        <v>122.73010841868243</v>
      </c>
      <c r="G463" s="17"/>
      <c r="H463" s="17"/>
      <c r="I463" s="17"/>
      <c r="J463" s="17"/>
    </row>
    <row r="464" spans="3:10" x14ac:dyDescent="0.25">
      <c r="C464" s="31">
        <f t="shared" ca="1" si="30"/>
        <v>40.114786151083486</v>
      </c>
      <c r="D464" s="31">
        <f t="shared" ca="1" si="30"/>
        <v>118.82017258158749</v>
      </c>
      <c r="E464" s="32">
        <v>61.34360356483694</v>
      </c>
      <c r="F464" s="32">
        <v>118.77231709549532</v>
      </c>
      <c r="G464" s="17"/>
      <c r="H464" s="17"/>
      <c r="I464" s="17"/>
      <c r="J464" s="17"/>
    </row>
    <row r="465" spans="3:10" x14ac:dyDescent="0.25">
      <c r="C465" s="31">
        <f t="shared" ca="1" si="30"/>
        <v>49.863476535116654</v>
      </c>
      <c r="D465" s="31">
        <f t="shared" ca="1" si="30"/>
        <v>90.858490343456765</v>
      </c>
      <c r="E465" s="32">
        <v>72.662477289075326</v>
      </c>
      <c r="F465" s="32">
        <v>107.83613213501548</v>
      </c>
      <c r="G465" s="17"/>
      <c r="H465" s="17"/>
      <c r="I465" s="17"/>
      <c r="J465" s="17"/>
    </row>
    <row r="466" spans="3:10" x14ac:dyDescent="0.25">
      <c r="C466" s="31">
        <f t="shared" ca="1" si="30"/>
        <v>50.445891088875925</v>
      </c>
      <c r="D466" s="31">
        <f t="shared" ca="1" si="30"/>
        <v>100.43512261216601</v>
      </c>
      <c r="E466" s="32">
        <v>63.32399633745122</v>
      </c>
      <c r="F466" s="32">
        <v>92.07972953551706</v>
      </c>
      <c r="G466" s="17"/>
      <c r="H466" s="17"/>
      <c r="I466" s="17"/>
      <c r="J466" s="17"/>
    </row>
    <row r="467" spans="3:10" x14ac:dyDescent="0.25">
      <c r="C467" s="31">
        <f t="shared" ca="1" si="30"/>
        <v>29.328764298333311</v>
      </c>
      <c r="D467" s="31">
        <f t="shared" ca="1" si="30"/>
        <v>127.89108765546725</v>
      </c>
      <c r="E467" s="32">
        <v>20.784362514015008</v>
      </c>
      <c r="F467" s="32">
        <v>128.25507914595141</v>
      </c>
      <c r="G467" s="17"/>
      <c r="H467" s="17"/>
      <c r="I467" s="17"/>
      <c r="J467" s="17"/>
    </row>
    <row r="468" spans="3:10" x14ac:dyDescent="0.25">
      <c r="C468" s="31">
        <f t="shared" ca="1" si="30"/>
        <v>35.559932123933422</v>
      </c>
      <c r="D468" s="31">
        <f t="shared" ca="1" si="30"/>
        <v>116.35803625302364</v>
      </c>
      <c r="E468" s="32">
        <v>60.200629909675385</v>
      </c>
      <c r="F468" s="32">
        <v>126.03246675947378</v>
      </c>
      <c r="G468" s="17"/>
      <c r="H468" s="17"/>
      <c r="I468" s="17"/>
      <c r="J468" s="17"/>
    </row>
    <row r="469" spans="3:10" x14ac:dyDescent="0.25">
      <c r="C469" s="31">
        <f t="shared" ca="1" si="30"/>
        <v>41.129596803038737</v>
      </c>
      <c r="D469" s="31">
        <f t="shared" ca="1" si="30"/>
        <v>106.82581238380173</v>
      </c>
      <c r="E469" s="32">
        <v>38.497848371216705</v>
      </c>
      <c r="F469" s="32">
        <v>88.068185445087067</v>
      </c>
      <c r="G469" s="17"/>
      <c r="H469" s="17"/>
      <c r="I469" s="17"/>
      <c r="J469" s="17"/>
    </row>
    <row r="470" spans="3:10" x14ac:dyDescent="0.25">
      <c r="C470" s="31">
        <f t="shared" ca="1" si="30"/>
        <v>31.063849767002239</v>
      </c>
      <c r="D470" s="31">
        <f t="shared" ca="1" si="30"/>
        <v>119.60012642324192</v>
      </c>
      <c r="E470" s="32">
        <v>28.007554701269733</v>
      </c>
      <c r="F470" s="32">
        <v>127.10180200974608</v>
      </c>
      <c r="G470" s="17"/>
      <c r="H470" s="17"/>
      <c r="I470" s="17"/>
      <c r="J470" s="17"/>
    </row>
    <row r="471" spans="3:10" x14ac:dyDescent="0.25">
      <c r="C471" s="31">
        <f t="shared" ca="1" si="30"/>
        <v>36.077009906656833</v>
      </c>
      <c r="D471" s="31">
        <f t="shared" ca="1" si="30"/>
        <v>87.164264589535833</v>
      </c>
      <c r="E471" s="32">
        <v>60.5344491579785</v>
      </c>
      <c r="F471" s="32">
        <v>96.089444234876396</v>
      </c>
      <c r="G471" s="17"/>
      <c r="H471" s="17"/>
      <c r="I471" s="17"/>
      <c r="J471" s="17"/>
    </row>
    <row r="472" spans="3:10" x14ac:dyDescent="0.25">
      <c r="C472" s="31">
        <f t="shared" ca="1" si="30"/>
        <v>59.094146744260883</v>
      </c>
      <c r="D472" s="31">
        <f t="shared" ca="1" si="30"/>
        <v>120.85107198214924</v>
      </c>
      <c r="E472" s="32">
        <v>64.018414950903576</v>
      </c>
      <c r="F472" s="32">
        <v>118.65706693553935</v>
      </c>
      <c r="G472" s="17"/>
      <c r="H472" s="17"/>
      <c r="I472" s="17"/>
      <c r="J472" s="17"/>
    </row>
    <row r="473" spans="3:10" x14ac:dyDescent="0.25">
      <c r="C473" s="31">
        <f t="shared" ca="1" si="30"/>
        <v>33.712550236093946</v>
      </c>
      <c r="D473" s="31">
        <f t="shared" ca="1" si="30"/>
        <v>111.96025547921195</v>
      </c>
      <c r="E473" s="32">
        <v>62.782575683666323</v>
      </c>
      <c r="F473" s="32">
        <v>131.65690205476957</v>
      </c>
      <c r="G473" s="17"/>
      <c r="H473" s="17"/>
      <c r="I473" s="17"/>
      <c r="J473" s="17"/>
    </row>
    <row r="474" spans="3:10" x14ac:dyDescent="0.25">
      <c r="C474" s="31">
        <f t="shared" ref="C474:D493" ca="1" si="31">_xlfn.NORM.INV(RAND(),C$4,C$5)</f>
        <v>67.044410148439297</v>
      </c>
      <c r="D474" s="31">
        <f t="shared" ca="1" si="31"/>
        <v>112.00616933837108</v>
      </c>
      <c r="E474" s="32">
        <v>33.989999048941783</v>
      </c>
      <c r="F474" s="32">
        <v>124.1855809798929</v>
      </c>
      <c r="G474" s="17"/>
      <c r="H474" s="17"/>
      <c r="I474" s="17"/>
      <c r="J474" s="17"/>
    </row>
    <row r="475" spans="3:10" x14ac:dyDescent="0.25">
      <c r="C475" s="31">
        <f t="shared" ca="1" si="31"/>
        <v>34.468777151156502</v>
      </c>
      <c r="D475" s="31">
        <f t="shared" ca="1" si="31"/>
        <v>129.25203555718852</v>
      </c>
      <c r="E475" s="32">
        <v>55.619429714853894</v>
      </c>
      <c r="F475" s="32">
        <v>127.32697125301215</v>
      </c>
      <c r="G475" s="17"/>
      <c r="H475" s="17"/>
      <c r="I475" s="17"/>
      <c r="J475" s="17"/>
    </row>
    <row r="476" spans="3:10" x14ac:dyDescent="0.25">
      <c r="C476" s="31">
        <f t="shared" ca="1" si="31"/>
        <v>-4.3266253793295704</v>
      </c>
      <c r="D476" s="31">
        <f t="shared" ca="1" si="31"/>
        <v>109.47979893563664</v>
      </c>
      <c r="E476" s="32">
        <v>57.110363963471791</v>
      </c>
      <c r="F476" s="32">
        <v>91.493326222592529</v>
      </c>
      <c r="G476" s="17"/>
      <c r="H476" s="17"/>
      <c r="I476" s="17"/>
      <c r="J476" s="17"/>
    </row>
    <row r="477" spans="3:10" x14ac:dyDescent="0.25">
      <c r="C477" s="31">
        <f t="shared" ca="1" si="31"/>
        <v>42.095236737618279</v>
      </c>
      <c r="D477" s="31">
        <f t="shared" ca="1" si="31"/>
        <v>113.60911532080878</v>
      </c>
      <c r="E477" s="32">
        <v>48.281626507479366</v>
      </c>
      <c r="F477" s="32">
        <v>90.53324400345241</v>
      </c>
      <c r="G477" s="17"/>
      <c r="H477" s="17"/>
      <c r="I477" s="17"/>
      <c r="J477" s="17"/>
    </row>
    <row r="478" spans="3:10" x14ac:dyDescent="0.25">
      <c r="C478" s="31">
        <f t="shared" ca="1" si="31"/>
        <v>20.451271201137228</v>
      </c>
      <c r="D478" s="31">
        <f t="shared" ca="1" si="31"/>
        <v>119.13099527144686</v>
      </c>
      <c r="E478" s="32">
        <v>76.223161778112441</v>
      </c>
      <c r="F478" s="32">
        <v>98.98244426528403</v>
      </c>
      <c r="G478" s="17"/>
      <c r="H478" s="17"/>
      <c r="I478" s="17"/>
      <c r="J478" s="17"/>
    </row>
    <row r="479" spans="3:10" x14ac:dyDescent="0.25">
      <c r="C479" s="31">
        <f t="shared" ca="1" si="31"/>
        <v>55.027535883338032</v>
      </c>
      <c r="D479" s="31">
        <f t="shared" ca="1" si="31"/>
        <v>112.59604314294022</v>
      </c>
      <c r="E479" s="32">
        <v>26.888135339529459</v>
      </c>
      <c r="F479" s="32">
        <v>116.26009425254587</v>
      </c>
      <c r="G479" s="17"/>
      <c r="H479" s="17"/>
      <c r="I479" s="17"/>
      <c r="J479" s="17"/>
    </row>
    <row r="480" spans="3:10" x14ac:dyDescent="0.25">
      <c r="C480" s="31">
        <f t="shared" ca="1" si="31"/>
        <v>68.335158951906948</v>
      </c>
      <c r="D480" s="31">
        <f t="shared" ca="1" si="31"/>
        <v>115.05405747340524</v>
      </c>
      <c r="E480" s="32">
        <v>60.868367008390493</v>
      </c>
      <c r="F480" s="32">
        <v>108.7537130129171</v>
      </c>
      <c r="G480" s="17"/>
      <c r="H480" s="17"/>
      <c r="I480" s="17"/>
      <c r="J480" s="17"/>
    </row>
    <row r="481" spans="3:10" x14ac:dyDescent="0.25">
      <c r="C481" s="31">
        <f t="shared" ca="1" si="31"/>
        <v>64.195390418225614</v>
      </c>
      <c r="D481" s="31">
        <f t="shared" ca="1" si="31"/>
        <v>115.01438666368973</v>
      </c>
      <c r="E481" s="32">
        <v>27.966899846587488</v>
      </c>
      <c r="F481" s="32">
        <v>102.58805777107028</v>
      </c>
      <c r="G481" s="17"/>
      <c r="H481" s="17"/>
      <c r="I481" s="17"/>
      <c r="J481" s="17"/>
    </row>
    <row r="482" spans="3:10" x14ac:dyDescent="0.25">
      <c r="C482" s="31">
        <f t="shared" ca="1" si="31"/>
        <v>59.135096114670475</v>
      </c>
      <c r="D482" s="31">
        <f t="shared" ca="1" si="31"/>
        <v>86.179858915937928</v>
      </c>
      <c r="E482" s="32">
        <v>55.566518317999481</v>
      </c>
      <c r="F482" s="32">
        <v>101.0328632764644</v>
      </c>
      <c r="G482" s="17"/>
      <c r="H482" s="17"/>
      <c r="I482" s="17"/>
      <c r="J482" s="17"/>
    </row>
    <row r="483" spans="3:10" x14ac:dyDescent="0.25">
      <c r="C483" s="31">
        <f t="shared" ca="1" si="31"/>
        <v>72.238642363085134</v>
      </c>
      <c r="D483" s="31">
        <f t="shared" ca="1" si="31"/>
        <v>107.93224724204954</v>
      </c>
      <c r="E483" s="32">
        <v>72.46892180147313</v>
      </c>
      <c r="F483" s="32">
        <v>107.19554989885133</v>
      </c>
      <c r="G483" s="17"/>
      <c r="H483" s="17"/>
      <c r="I483" s="17"/>
      <c r="J483" s="17"/>
    </row>
    <row r="484" spans="3:10" x14ac:dyDescent="0.25">
      <c r="C484" s="31">
        <f t="shared" ca="1" si="31"/>
        <v>64.831804450117104</v>
      </c>
      <c r="D484" s="31">
        <f t="shared" ca="1" si="31"/>
        <v>115.32922500720584</v>
      </c>
      <c r="E484" s="32">
        <v>25.981300709980392</v>
      </c>
      <c r="F484" s="32">
        <v>111.23407657774197</v>
      </c>
      <c r="G484" s="17"/>
      <c r="H484" s="17"/>
      <c r="I484" s="17"/>
      <c r="J484" s="17"/>
    </row>
    <row r="485" spans="3:10" x14ac:dyDescent="0.25">
      <c r="C485" s="31">
        <f t="shared" ca="1" si="31"/>
        <v>54.542009756111341</v>
      </c>
      <c r="D485" s="31">
        <f t="shared" ca="1" si="31"/>
        <v>124.30323261222418</v>
      </c>
      <c r="E485" s="32">
        <v>53.241136596017832</v>
      </c>
      <c r="F485" s="32">
        <v>132.44212111252568</v>
      </c>
      <c r="G485" s="17"/>
      <c r="H485" s="17"/>
      <c r="I485" s="17"/>
      <c r="J485" s="17"/>
    </row>
    <row r="486" spans="3:10" x14ac:dyDescent="0.25">
      <c r="C486" s="31">
        <f t="shared" ca="1" si="31"/>
        <v>42.11596226420081</v>
      </c>
      <c r="D486" s="31">
        <f t="shared" ca="1" si="31"/>
        <v>105.68062837275723</v>
      </c>
      <c r="E486" s="32">
        <v>18.5650519496103</v>
      </c>
      <c r="F486" s="32">
        <v>99.306545063212809</v>
      </c>
      <c r="G486" s="17"/>
      <c r="H486" s="17"/>
      <c r="I486" s="17"/>
      <c r="J486" s="17"/>
    </row>
    <row r="487" spans="3:10" x14ac:dyDescent="0.25">
      <c r="C487" s="31">
        <f t="shared" ca="1" si="31"/>
        <v>59.482498139390117</v>
      </c>
      <c r="D487" s="31">
        <f t="shared" ca="1" si="31"/>
        <v>103.57647476925864</v>
      </c>
      <c r="E487" s="32">
        <v>31.659773597817519</v>
      </c>
      <c r="F487" s="32">
        <v>122.3083822661697</v>
      </c>
      <c r="G487" s="17"/>
      <c r="H487" s="17"/>
      <c r="I487" s="17"/>
      <c r="J487" s="17"/>
    </row>
    <row r="488" spans="3:10" x14ac:dyDescent="0.25">
      <c r="C488" s="31">
        <f t="shared" ca="1" si="31"/>
        <v>61.843125163975884</v>
      </c>
      <c r="D488" s="31">
        <f t="shared" ca="1" si="31"/>
        <v>125.00730845810862</v>
      </c>
      <c r="E488" s="32">
        <v>48.999919363148308</v>
      </c>
      <c r="F488" s="32">
        <v>122.43295020357428</v>
      </c>
      <c r="G488" s="17"/>
      <c r="H488" s="17"/>
      <c r="I488" s="17"/>
      <c r="J488" s="17"/>
    </row>
    <row r="489" spans="3:10" x14ac:dyDescent="0.25">
      <c r="C489" s="31">
        <f t="shared" ca="1" si="31"/>
        <v>30.103828871611732</v>
      </c>
      <c r="D489" s="31">
        <f t="shared" ca="1" si="31"/>
        <v>102.97268697576405</v>
      </c>
      <c r="E489" s="32">
        <v>6.5449797487681138</v>
      </c>
      <c r="F489" s="32">
        <v>116.63430954341192</v>
      </c>
      <c r="G489" s="17"/>
      <c r="H489" s="17"/>
      <c r="I489" s="17"/>
      <c r="J489" s="17"/>
    </row>
    <row r="490" spans="3:10" x14ac:dyDescent="0.25">
      <c r="C490" s="31">
        <f t="shared" ca="1" si="31"/>
        <v>32.441041139664158</v>
      </c>
      <c r="D490" s="31">
        <f t="shared" ca="1" si="31"/>
        <v>112.59627274567644</v>
      </c>
      <c r="E490" s="32">
        <v>69.64050389166016</v>
      </c>
      <c r="F490" s="32">
        <v>115.13758673760793</v>
      </c>
      <c r="G490" s="17"/>
      <c r="H490" s="17"/>
      <c r="I490" s="17"/>
      <c r="J490" s="17"/>
    </row>
    <row r="491" spans="3:10" x14ac:dyDescent="0.25">
      <c r="C491" s="31">
        <f t="shared" ca="1" si="31"/>
        <v>29.226045053046402</v>
      </c>
      <c r="D491" s="31">
        <f t="shared" ca="1" si="31"/>
        <v>116.63789553134995</v>
      </c>
      <c r="E491" s="32">
        <v>36.726524149933766</v>
      </c>
      <c r="F491" s="32">
        <v>104.88193466833107</v>
      </c>
      <c r="G491" s="17"/>
      <c r="H491" s="17"/>
      <c r="I491" s="17"/>
      <c r="J491" s="17"/>
    </row>
    <row r="492" spans="3:10" x14ac:dyDescent="0.25">
      <c r="C492" s="31">
        <f t="shared" ca="1" si="31"/>
        <v>29.106606445134432</v>
      </c>
      <c r="D492" s="31">
        <f t="shared" ca="1" si="31"/>
        <v>85.013576605599113</v>
      </c>
      <c r="E492" s="32">
        <v>71.114800099188287</v>
      </c>
      <c r="F492" s="32">
        <v>124.76174148796876</v>
      </c>
      <c r="G492" s="17"/>
      <c r="H492" s="17"/>
      <c r="I492" s="17"/>
      <c r="J492" s="17"/>
    </row>
    <row r="493" spans="3:10" x14ac:dyDescent="0.25">
      <c r="C493" s="31">
        <f t="shared" ca="1" si="31"/>
        <v>56.397591794188266</v>
      </c>
      <c r="D493" s="31">
        <f t="shared" ca="1" si="31"/>
        <v>112.05464984617328</v>
      </c>
      <c r="E493" s="32">
        <v>54.431315426378418</v>
      </c>
      <c r="F493" s="32">
        <v>117.49458213181853</v>
      </c>
      <c r="G493" s="17"/>
      <c r="H493" s="17"/>
      <c r="I493" s="17"/>
      <c r="J493" s="17"/>
    </row>
    <row r="494" spans="3:10" x14ac:dyDescent="0.25">
      <c r="C494" s="31">
        <f t="shared" ref="C494:D504" ca="1" si="32">_xlfn.NORM.INV(RAND(),C$4,C$5)</f>
        <v>44.570395060874887</v>
      </c>
      <c r="D494" s="31">
        <f t="shared" ca="1" si="32"/>
        <v>126.13483424309264</v>
      </c>
      <c r="E494" s="32">
        <v>52.27671451452315</v>
      </c>
      <c r="F494" s="32">
        <v>114.16437376010512</v>
      </c>
      <c r="G494" s="17"/>
      <c r="H494" s="17"/>
      <c r="I494" s="17"/>
      <c r="J494" s="17"/>
    </row>
    <row r="495" spans="3:10" x14ac:dyDescent="0.25">
      <c r="C495" s="31">
        <f t="shared" ca="1" si="32"/>
        <v>52.558960744719769</v>
      </c>
      <c r="D495" s="31">
        <f t="shared" ca="1" si="32"/>
        <v>107.70112970063889</v>
      </c>
      <c r="E495" s="32">
        <v>57.874513005157525</v>
      </c>
      <c r="F495" s="32">
        <v>116.71444275099631</v>
      </c>
      <c r="G495" s="17"/>
      <c r="H495" s="17"/>
      <c r="I495" s="17"/>
      <c r="J495" s="17"/>
    </row>
    <row r="496" spans="3:10" x14ac:dyDescent="0.25">
      <c r="C496" s="31">
        <f t="shared" ca="1" si="32"/>
        <v>68.524768744765652</v>
      </c>
      <c r="D496" s="31">
        <f t="shared" ca="1" si="32"/>
        <v>78.974697929808556</v>
      </c>
      <c r="E496" s="32">
        <v>46.722653929561183</v>
      </c>
      <c r="F496" s="32">
        <v>95.793210066046683</v>
      </c>
      <c r="G496" s="17"/>
      <c r="H496" s="17"/>
      <c r="I496" s="17"/>
      <c r="J496" s="17"/>
    </row>
    <row r="497" spans="3:10" x14ac:dyDescent="0.25">
      <c r="C497" s="31">
        <f t="shared" ca="1" si="32"/>
        <v>89.81225620634271</v>
      </c>
      <c r="D497" s="31">
        <f t="shared" ca="1" si="32"/>
        <v>91.716259752192528</v>
      </c>
      <c r="E497" s="32">
        <v>81.184133608497874</v>
      </c>
      <c r="F497" s="32">
        <v>117.42969135498944</v>
      </c>
      <c r="G497" s="17"/>
      <c r="H497" s="17"/>
      <c r="I497" s="17"/>
      <c r="J497" s="17"/>
    </row>
    <row r="498" spans="3:10" x14ac:dyDescent="0.25">
      <c r="C498" s="31">
        <f t="shared" ca="1" si="32"/>
        <v>26.074007615821483</v>
      </c>
      <c r="D498" s="31">
        <f t="shared" ca="1" si="32"/>
        <v>107.4759623139268</v>
      </c>
      <c r="E498" s="32">
        <v>60.830795405982798</v>
      </c>
      <c r="F498" s="32">
        <v>103.80967381894862</v>
      </c>
      <c r="G498" s="17"/>
      <c r="H498" s="17"/>
      <c r="I498" s="17"/>
      <c r="J498" s="17"/>
    </row>
    <row r="499" spans="3:10" x14ac:dyDescent="0.25">
      <c r="C499" s="31">
        <f t="shared" ca="1" si="32"/>
        <v>53.397988462496258</v>
      </c>
      <c r="D499" s="31">
        <f t="shared" ca="1" si="32"/>
        <v>110.82058857734452</v>
      </c>
      <c r="E499" s="32">
        <v>90.123278845686869</v>
      </c>
      <c r="F499" s="32">
        <v>104.93257690154101</v>
      </c>
      <c r="G499" s="17"/>
      <c r="H499" s="17"/>
      <c r="I499" s="17"/>
      <c r="J499" s="17"/>
    </row>
    <row r="500" spans="3:10" x14ac:dyDescent="0.25">
      <c r="C500" s="31">
        <f t="shared" ca="1" si="32"/>
        <v>59.902331393134048</v>
      </c>
      <c r="D500" s="31">
        <f t="shared" ca="1" si="32"/>
        <v>99.00246078879529</v>
      </c>
      <c r="E500" s="32">
        <v>36.454044255559694</v>
      </c>
      <c r="F500" s="32">
        <v>94.755055251709379</v>
      </c>
      <c r="G500" s="17"/>
      <c r="H500" s="17"/>
      <c r="I500" s="17"/>
      <c r="J500" s="17"/>
    </row>
    <row r="501" spans="3:10" x14ac:dyDescent="0.25">
      <c r="C501" s="31">
        <f t="shared" ca="1" si="32"/>
        <v>57.687091784705053</v>
      </c>
      <c r="D501" s="31">
        <f t="shared" ca="1" si="32"/>
        <v>112.56742644465699</v>
      </c>
      <c r="E501" s="32">
        <v>58.895188204601695</v>
      </c>
      <c r="F501" s="32">
        <v>108.34893119608115</v>
      </c>
      <c r="G501" s="17"/>
      <c r="H501" s="17"/>
      <c r="I501" s="17"/>
      <c r="J501" s="17"/>
    </row>
    <row r="502" spans="3:10" x14ac:dyDescent="0.25">
      <c r="C502" s="31">
        <f t="shared" ca="1" si="32"/>
        <v>50.834649202298621</v>
      </c>
      <c r="D502" s="31">
        <f t="shared" ca="1" si="32"/>
        <v>102.94892645988548</v>
      </c>
      <c r="E502" s="32">
        <v>72.569485036192248</v>
      </c>
      <c r="F502" s="32">
        <v>109.42675122099105</v>
      </c>
      <c r="G502" s="17"/>
      <c r="H502" s="17"/>
      <c r="I502" s="17"/>
      <c r="J502" s="17"/>
    </row>
    <row r="503" spans="3:10" x14ac:dyDescent="0.25">
      <c r="C503" s="31">
        <f t="shared" ca="1" si="32"/>
        <v>27.769734200290845</v>
      </c>
      <c r="D503" s="31">
        <f t="shared" ca="1" si="32"/>
        <v>110.91437838311613</v>
      </c>
      <c r="E503" s="32">
        <v>49.120308635327156</v>
      </c>
      <c r="F503" s="32">
        <v>103.36671185770096</v>
      </c>
      <c r="G503" s="17"/>
      <c r="H503" s="17"/>
      <c r="I503" s="17"/>
      <c r="J503" s="17"/>
    </row>
    <row r="504" spans="3:10" x14ac:dyDescent="0.25">
      <c r="C504" s="31">
        <f t="shared" ca="1" si="32"/>
        <v>49.604495076713299</v>
      </c>
      <c r="D504" s="31">
        <f t="shared" ca="1" si="32"/>
        <v>125.79248301853632</v>
      </c>
      <c r="E504" s="32">
        <v>48.968469788425146</v>
      </c>
      <c r="F504" s="32">
        <v>126.39865344390205</v>
      </c>
      <c r="G504" s="17"/>
      <c r="H504" s="17"/>
      <c r="I504" s="17"/>
      <c r="J504" s="17"/>
    </row>
  </sheetData>
  <mergeCells count="4">
    <mergeCell ref="H4:I4"/>
    <mergeCell ref="J4:K4"/>
    <mergeCell ref="C12:D13"/>
    <mergeCell ref="E12:F13"/>
  </mergeCells>
  <conditionalFormatting sqref="M7:AR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4:AR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1:AR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Scroll Bar 1">
              <controlPr defaultSize="0" autoPict="0">
                <anchor moveWithCells="1">
                  <from>
                    <xdr:col>7</xdr:col>
                    <xdr:colOff>123825</xdr:colOff>
                    <xdr:row>8</xdr:row>
                    <xdr:rowOff>133350</xdr:rowOff>
                  </from>
                  <to>
                    <xdr:col>7</xdr:col>
                    <xdr:colOff>542925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Scroll Bar 2">
              <controlPr defaultSize="0" autoPict="0">
                <anchor moveWithCells="1">
                  <from>
                    <xdr:col>8</xdr:col>
                    <xdr:colOff>95250</xdr:colOff>
                    <xdr:row>8</xdr:row>
                    <xdr:rowOff>133350</xdr:rowOff>
                  </from>
                  <to>
                    <xdr:col>8</xdr:col>
                    <xdr:colOff>514350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Scroll Bar 3">
              <controlPr defaultSize="0" autoPict="0">
                <anchor moveWithCells="1">
                  <from>
                    <xdr:col>9</xdr:col>
                    <xdr:colOff>133350</xdr:colOff>
                    <xdr:row>8</xdr:row>
                    <xdr:rowOff>133350</xdr:rowOff>
                  </from>
                  <to>
                    <xdr:col>9</xdr:col>
                    <xdr:colOff>552450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Scroll Bar 4">
              <controlPr defaultSize="0" autoPict="0">
                <anchor moveWithCells="1">
                  <from>
                    <xdr:col>10</xdr:col>
                    <xdr:colOff>123825</xdr:colOff>
                    <xdr:row>8</xdr:row>
                    <xdr:rowOff>133350</xdr:rowOff>
                  </from>
                  <to>
                    <xdr:col>10</xdr:col>
                    <xdr:colOff>542925</xdr:colOff>
                    <xdr:row>23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AT1424"/>
  <sheetViews>
    <sheetView showGridLines="0" topLeftCell="G2" zoomScale="80" zoomScaleNormal="80" workbookViewId="0">
      <selection activeCell="A2" sqref="A1:F1048576"/>
    </sheetView>
  </sheetViews>
  <sheetFormatPr defaultRowHeight="15" x14ac:dyDescent="0.25"/>
  <cols>
    <col min="1" max="5" width="15.28515625" hidden="1" customWidth="1"/>
    <col min="6" max="6" width="19.7109375" hidden="1" customWidth="1"/>
    <col min="7" max="7" width="8.28515625" customWidth="1"/>
    <col min="8" max="9" width="12.5703125" customWidth="1"/>
    <col min="10" max="13" width="9.28515625" customWidth="1"/>
    <col min="14" max="14" width="21.28515625" customWidth="1"/>
    <col min="15" max="46" width="5" customWidth="1"/>
  </cols>
  <sheetData>
    <row r="2" spans="2:46" ht="21" x14ac:dyDescent="0.4">
      <c r="C2" s="30" t="s">
        <v>16</v>
      </c>
      <c r="D2" s="16"/>
      <c r="E2" s="15"/>
      <c r="H2" s="58" t="s">
        <v>45</v>
      </c>
      <c r="I2" s="16"/>
      <c r="K2" s="16"/>
      <c r="L2" s="16"/>
      <c r="O2" s="55" t="s">
        <v>34</v>
      </c>
    </row>
    <row r="3" spans="2:46" thickBot="1" x14ac:dyDescent="0.35">
      <c r="C3" s="16" t="s">
        <v>10</v>
      </c>
      <c r="D3" s="16" t="s">
        <v>11</v>
      </c>
      <c r="I3" s="16"/>
      <c r="J3" s="16"/>
      <c r="K3" s="16"/>
      <c r="L3" s="16"/>
      <c r="O3" s="15" t="s">
        <v>14</v>
      </c>
    </row>
    <row r="4" spans="2:46" ht="19.899999999999999" customHeight="1" x14ac:dyDescent="0.3">
      <c r="B4" s="15" t="s">
        <v>7</v>
      </c>
      <c r="C4" s="18">
        <v>60</v>
      </c>
      <c r="D4" s="18">
        <v>115</v>
      </c>
      <c r="H4" s="174" t="s">
        <v>42</v>
      </c>
      <c r="I4" s="175"/>
      <c r="J4" s="173" t="s">
        <v>38</v>
      </c>
      <c r="K4" s="168"/>
      <c r="L4" s="167" t="s">
        <v>39</v>
      </c>
      <c r="M4" s="168"/>
      <c r="N4" s="16" t="s">
        <v>41</v>
      </c>
      <c r="O4" s="13">
        <f t="shared" ref="O4:AT4" si="0">O8+O7</f>
        <v>0</v>
      </c>
      <c r="P4" s="13">
        <f t="shared" si="0"/>
        <v>0</v>
      </c>
      <c r="Q4" s="13">
        <f t="shared" si="0"/>
        <v>0</v>
      </c>
      <c r="R4" s="13">
        <f t="shared" si="0"/>
        <v>0</v>
      </c>
      <c r="S4" s="13">
        <f t="shared" si="0"/>
        <v>3</v>
      </c>
      <c r="T4" s="13">
        <f t="shared" si="0"/>
        <v>11</v>
      </c>
      <c r="U4" s="13">
        <f t="shared" si="0"/>
        <v>19</v>
      </c>
      <c r="V4" s="13">
        <f t="shared" si="0"/>
        <v>48</v>
      </c>
      <c r="W4" s="13">
        <f t="shared" si="0"/>
        <v>133</v>
      </c>
      <c r="X4" s="13">
        <f t="shared" si="0"/>
        <v>192</v>
      </c>
      <c r="Y4" s="13">
        <f t="shared" si="0"/>
        <v>273</v>
      </c>
      <c r="Z4" s="13">
        <f t="shared" si="0"/>
        <v>278</v>
      </c>
      <c r="AA4" s="13">
        <f t="shared" si="0"/>
        <v>229</v>
      </c>
      <c r="AB4" s="13">
        <f t="shared" si="0"/>
        <v>129</v>
      </c>
      <c r="AC4" s="13">
        <f t="shared" si="0"/>
        <v>65</v>
      </c>
      <c r="AD4" s="13">
        <f t="shared" si="0"/>
        <v>50</v>
      </c>
      <c r="AE4" s="13">
        <f t="shared" si="0"/>
        <v>32</v>
      </c>
      <c r="AF4" s="13">
        <f t="shared" si="0"/>
        <v>30</v>
      </c>
      <c r="AG4" s="13">
        <f t="shared" si="0"/>
        <v>29</v>
      </c>
      <c r="AH4" s="13">
        <f t="shared" si="0"/>
        <v>52</v>
      </c>
      <c r="AI4" s="13">
        <f t="shared" si="0"/>
        <v>37</v>
      </c>
      <c r="AJ4" s="13">
        <f t="shared" si="0"/>
        <v>54</v>
      </c>
      <c r="AK4" s="13">
        <f t="shared" si="0"/>
        <v>49</v>
      </c>
      <c r="AL4" s="13">
        <f t="shared" si="0"/>
        <v>47</v>
      </c>
      <c r="AM4" s="13">
        <f t="shared" si="0"/>
        <v>42</v>
      </c>
      <c r="AN4" s="13">
        <f t="shared" si="0"/>
        <v>26</v>
      </c>
      <c r="AO4" s="13">
        <f t="shared" si="0"/>
        <v>22</v>
      </c>
      <c r="AP4" s="13">
        <f t="shared" si="0"/>
        <v>19</v>
      </c>
      <c r="AQ4" s="13">
        <f t="shared" si="0"/>
        <v>15</v>
      </c>
      <c r="AR4" s="13">
        <f t="shared" si="0"/>
        <v>4</v>
      </c>
      <c r="AS4" s="13">
        <f t="shared" si="0"/>
        <v>6</v>
      </c>
      <c r="AT4" s="13">
        <f t="shared" si="0"/>
        <v>4</v>
      </c>
    </row>
    <row r="5" spans="2:46" ht="19.899999999999999" customHeight="1" x14ac:dyDescent="0.3">
      <c r="B5" s="15" t="s">
        <v>8</v>
      </c>
      <c r="C5" s="18">
        <v>10</v>
      </c>
      <c r="D5" s="18">
        <v>20</v>
      </c>
      <c r="H5" s="63" t="s">
        <v>43</v>
      </c>
      <c r="I5" s="64" t="s">
        <v>44</v>
      </c>
      <c r="J5" s="60" t="s">
        <v>7</v>
      </c>
      <c r="K5" s="27" t="s">
        <v>8</v>
      </c>
      <c r="L5" s="26" t="s">
        <v>7</v>
      </c>
      <c r="M5" s="27" t="s">
        <v>8</v>
      </c>
      <c r="N5" s="16" t="s">
        <v>13</v>
      </c>
      <c r="O5" s="13">
        <f t="shared" ref="O5:AT5" si="1">O6+step</f>
        <v>10</v>
      </c>
      <c r="P5" s="13">
        <f t="shared" si="1"/>
        <v>15</v>
      </c>
      <c r="Q5" s="13">
        <f t="shared" si="1"/>
        <v>20</v>
      </c>
      <c r="R5" s="13">
        <f t="shared" si="1"/>
        <v>25</v>
      </c>
      <c r="S5" s="13">
        <f t="shared" si="1"/>
        <v>30</v>
      </c>
      <c r="T5" s="13">
        <f t="shared" si="1"/>
        <v>35</v>
      </c>
      <c r="U5" s="13">
        <f t="shared" si="1"/>
        <v>40</v>
      </c>
      <c r="V5" s="13">
        <f t="shared" si="1"/>
        <v>45</v>
      </c>
      <c r="W5" s="13">
        <f t="shared" si="1"/>
        <v>50</v>
      </c>
      <c r="X5" s="13">
        <f t="shared" si="1"/>
        <v>55</v>
      </c>
      <c r="Y5" s="13">
        <f t="shared" si="1"/>
        <v>60</v>
      </c>
      <c r="Z5" s="13">
        <f t="shared" si="1"/>
        <v>65</v>
      </c>
      <c r="AA5" s="13">
        <f t="shared" si="1"/>
        <v>70</v>
      </c>
      <c r="AB5" s="13">
        <f t="shared" si="1"/>
        <v>75</v>
      </c>
      <c r="AC5" s="13">
        <f t="shared" si="1"/>
        <v>80</v>
      </c>
      <c r="AD5" s="13">
        <f t="shared" si="1"/>
        <v>85</v>
      </c>
      <c r="AE5" s="13">
        <f t="shared" si="1"/>
        <v>90</v>
      </c>
      <c r="AF5" s="13">
        <f t="shared" si="1"/>
        <v>95</v>
      </c>
      <c r="AG5" s="13">
        <f t="shared" si="1"/>
        <v>100</v>
      </c>
      <c r="AH5" s="13">
        <f t="shared" si="1"/>
        <v>105</v>
      </c>
      <c r="AI5" s="13">
        <f t="shared" si="1"/>
        <v>110</v>
      </c>
      <c r="AJ5" s="13">
        <f t="shared" si="1"/>
        <v>115</v>
      </c>
      <c r="AK5" s="13">
        <f t="shared" si="1"/>
        <v>120</v>
      </c>
      <c r="AL5" s="13">
        <f t="shared" si="1"/>
        <v>125</v>
      </c>
      <c r="AM5" s="13">
        <f t="shared" si="1"/>
        <v>130</v>
      </c>
      <c r="AN5" s="13">
        <f t="shared" si="1"/>
        <v>135</v>
      </c>
      <c r="AO5" s="13">
        <f t="shared" si="1"/>
        <v>140</v>
      </c>
      <c r="AP5" s="13">
        <f t="shared" si="1"/>
        <v>145</v>
      </c>
      <c r="AQ5" s="13">
        <f t="shared" si="1"/>
        <v>150</v>
      </c>
      <c r="AR5" s="13">
        <f t="shared" si="1"/>
        <v>155</v>
      </c>
      <c r="AS5" s="13">
        <f t="shared" si="1"/>
        <v>160</v>
      </c>
      <c r="AT5" s="13">
        <f t="shared" si="1"/>
        <v>165</v>
      </c>
    </row>
    <row r="6" spans="2:46" ht="32.450000000000003" customHeight="1" x14ac:dyDescent="0.3">
      <c r="B6" s="15" t="s">
        <v>9</v>
      </c>
      <c r="C6" s="18">
        <v>5</v>
      </c>
      <c r="D6" s="7"/>
      <c r="H6" s="65">
        <f>I27/100</f>
        <v>0.01</v>
      </c>
      <c r="I6" s="68">
        <f>1-H6</f>
        <v>0.99</v>
      </c>
      <c r="J6" s="61">
        <v>1</v>
      </c>
      <c r="K6" s="29">
        <v>1</v>
      </c>
      <c r="L6" s="28">
        <v>1</v>
      </c>
      <c r="M6" s="29">
        <v>1</v>
      </c>
      <c r="N6" s="16" t="s">
        <v>12</v>
      </c>
      <c r="O6" s="13">
        <v>5</v>
      </c>
      <c r="P6" s="13">
        <f t="shared" ref="P6:AT6" si="2">O6+step</f>
        <v>10</v>
      </c>
      <c r="Q6" s="13">
        <f t="shared" si="2"/>
        <v>15</v>
      </c>
      <c r="R6" s="13">
        <f t="shared" si="2"/>
        <v>20</v>
      </c>
      <c r="S6" s="13">
        <f t="shared" si="2"/>
        <v>25</v>
      </c>
      <c r="T6" s="13">
        <f t="shared" si="2"/>
        <v>30</v>
      </c>
      <c r="U6" s="13">
        <f t="shared" si="2"/>
        <v>35</v>
      </c>
      <c r="V6" s="13">
        <f t="shared" si="2"/>
        <v>40</v>
      </c>
      <c r="W6" s="13">
        <f t="shared" si="2"/>
        <v>45</v>
      </c>
      <c r="X6" s="13">
        <f t="shared" si="2"/>
        <v>50</v>
      </c>
      <c r="Y6" s="13">
        <f t="shared" si="2"/>
        <v>55</v>
      </c>
      <c r="Z6" s="13">
        <f t="shared" si="2"/>
        <v>60</v>
      </c>
      <c r="AA6" s="13">
        <f t="shared" si="2"/>
        <v>65</v>
      </c>
      <c r="AB6" s="13">
        <f t="shared" si="2"/>
        <v>70</v>
      </c>
      <c r="AC6" s="13">
        <f t="shared" si="2"/>
        <v>75</v>
      </c>
      <c r="AD6" s="13">
        <f t="shared" si="2"/>
        <v>80</v>
      </c>
      <c r="AE6" s="13">
        <f t="shared" si="2"/>
        <v>85</v>
      </c>
      <c r="AF6" s="13">
        <f t="shared" si="2"/>
        <v>90</v>
      </c>
      <c r="AG6" s="13">
        <f t="shared" si="2"/>
        <v>95</v>
      </c>
      <c r="AH6" s="13">
        <f t="shared" si="2"/>
        <v>100</v>
      </c>
      <c r="AI6" s="13">
        <f t="shared" si="2"/>
        <v>105</v>
      </c>
      <c r="AJ6" s="13">
        <f t="shared" si="2"/>
        <v>110</v>
      </c>
      <c r="AK6" s="13">
        <f t="shared" si="2"/>
        <v>115</v>
      </c>
      <c r="AL6" s="13">
        <f t="shared" si="2"/>
        <v>120</v>
      </c>
      <c r="AM6" s="13">
        <f t="shared" si="2"/>
        <v>125</v>
      </c>
      <c r="AN6" s="13">
        <f t="shared" si="2"/>
        <v>130</v>
      </c>
      <c r="AO6" s="13">
        <f t="shared" si="2"/>
        <v>135</v>
      </c>
      <c r="AP6" s="13">
        <f t="shared" si="2"/>
        <v>140</v>
      </c>
      <c r="AQ6" s="13">
        <f t="shared" si="2"/>
        <v>145</v>
      </c>
      <c r="AR6" s="13">
        <f t="shared" si="2"/>
        <v>150</v>
      </c>
      <c r="AS6" s="13">
        <f t="shared" si="2"/>
        <v>155</v>
      </c>
      <c r="AT6" s="13">
        <f t="shared" si="2"/>
        <v>160</v>
      </c>
    </row>
    <row r="7" spans="2:46" ht="32.450000000000003" hidden="1" customHeight="1" x14ac:dyDescent="0.3">
      <c r="H7" s="66"/>
      <c r="I7" s="8"/>
      <c r="J7" s="14"/>
      <c r="K7" s="22"/>
      <c r="L7" s="21"/>
      <c r="M7" s="8"/>
      <c r="N7" s="5" t="s">
        <v>10</v>
      </c>
      <c r="O7" s="3">
        <f>COUNTIFS($E$14:$E$1424,"&gt;"&amp;O$6,$E$14:$E$1424,"&lt;="&amp;O$5)</f>
        <v>0</v>
      </c>
      <c r="P7" s="3">
        <f t="shared" ref="P7:AT7" si="3">COUNTIFS($E$14:$E$1424,"&gt;"&amp;P$6,$E$14:$E$1424,"&lt;="&amp;P$5)</f>
        <v>0</v>
      </c>
      <c r="Q7" s="3">
        <f t="shared" si="3"/>
        <v>0</v>
      </c>
      <c r="R7" s="3">
        <f t="shared" si="3"/>
        <v>0</v>
      </c>
      <c r="S7" s="3">
        <f t="shared" si="3"/>
        <v>3</v>
      </c>
      <c r="T7" s="3">
        <f t="shared" si="3"/>
        <v>11</v>
      </c>
      <c r="U7" s="3">
        <f t="shared" si="3"/>
        <v>19</v>
      </c>
      <c r="V7" s="3">
        <f t="shared" si="3"/>
        <v>48</v>
      </c>
      <c r="W7" s="3">
        <f t="shared" si="3"/>
        <v>133</v>
      </c>
      <c r="X7" s="3">
        <f t="shared" si="3"/>
        <v>192</v>
      </c>
      <c r="Y7" s="3">
        <f t="shared" si="3"/>
        <v>273</v>
      </c>
      <c r="Z7" s="3">
        <f t="shared" si="3"/>
        <v>276</v>
      </c>
      <c r="AA7" s="3">
        <f t="shared" si="3"/>
        <v>225</v>
      </c>
      <c r="AB7" s="3">
        <f t="shared" si="3"/>
        <v>125</v>
      </c>
      <c r="AC7" s="3">
        <f t="shared" si="3"/>
        <v>56</v>
      </c>
      <c r="AD7" s="3">
        <f t="shared" si="3"/>
        <v>35</v>
      </c>
      <c r="AE7" s="3">
        <f t="shared" si="3"/>
        <v>11</v>
      </c>
      <c r="AF7" s="3">
        <f t="shared" si="3"/>
        <v>4</v>
      </c>
      <c r="AG7" s="3">
        <f t="shared" si="3"/>
        <v>0</v>
      </c>
      <c r="AH7" s="3">
        <f t="shared" si="3"/>
        <v>0</v>
      </c>
      <c r="AI7" s="3">
        <f t="shared" si="3"/>
        <v>0</v>
      </c>
      <c r="AJ7" s="3">
        <f t="shared" si="3"/>
        <v>0</v>
      </c>
      <c r="AK7" s="3">
        <f t="shared" si="3"/>
        <v>0</v>
      </c>
      <c r="AL7" s="3">
        <f t="shared" si="3"/>
        <v>0</v>
      </c>
      <c r="AM7" s="3">
        <f t="shared" si="3"/>
        <v>0</v>
      </c>
      <c r="AN7" s="3">
        <f t="shared" si="3"/>
        <v>0</v>
      </c>
      <c r="AO7" s="3">
        <f t="shared" si="3"/>
        <v>0</v>
      </c>
      <c r="AP7" s="3">
        <f t="shared" si="3"/>
        <v>0</v>
      </c>
      <c r="AQ7" s="3">
        <f t="shared" si="3"/>
        <v>0</v>
      </c>
      <c r="AR7" s="3">
        <f t="shared" si="3"/>
        <v>0</v>
      </c>
      <c r="AS7" s="3">
        <f t="shared" si="3"/>
        <v>0</v>
      </c>
      <c r="AT7" s="3">
        <f t="shared" si="3"/>
        <v>0</v>
      </c>
    </row>
    <row r="8" spans="2:46" ht="32.450000000000003" hidden="1" customHeight="1" x14ac:dyDescent="0.3">
      <c r="H8" s="66"/>
      <c r="I8" s="22"/>
      <c r="J8" s="14"/>
      <c r="K8" s="22"/>
      <c r="L8" s="21"/>
      <c r="M8" s="8"/>
      <c r="N8" s="5" t="s">
        <v>11</v>
      </c>
      <c r="O8" s="3">
        <f>COUNTIFS($F$14:$F$504,"&gt;"&amp;O$6,$F$14:$F$504,"&lt;="&amp;O$5)</f>
        <v>0</v>
      </c>
      <c r="P8" s="3">
        <f t="shared" ref="P8:AT8" si="4">COUNTIFS($F$14:$F$504,"&gt;"&amp;P$6,$F$14:$F$504,"&lt;="&amp;P$5)</f>
        <v>0</v>
      </c>
      <c r="Q8" s="3">
        <f t="shared" si="4"/>
        <v>0</v>
      </c>
      <c r="R8" s="3">
        <f t="shared" si="4"/>
        <v>0</v>
      </c>
      <c r="S8" s="3">
        <f t="shared" si="4"/>
        <v>0</v>
      </c>
      <c r="T8" s="3">
        <f t="shared" si="4"/>
        <v>0</v>
      </c>
      <c r="U8" s="3">
        <f t="shared" si="4"/>
        <v>0</v>
      </c>
      <c r="V8" s="3">
        <f t="shared" si="4"/>
        <v>0</v>
      </c>
      <c r="W8" s="3">
        <f t="shared" si="4"/>
        <v>0</v>
      </c>
      <c r="X8" s="3">
        <f t="shared" si="4"/>
        <v>0</v>
      </c>
      <c r="Y8" s="3">
        <f t="shared" si="4"/>
        <v>0</v>
      </c>
      <c r="Z8" s="3">
        <f t="shared" si="4"/>
        <v>2</v>
      </c>
      <c r="AA8" s="3">
        <f t="shared" si="4"/>
        <v>4</v>
      </c>
      <c r="AB8" s="3">
        <f t="shared" si="4"/>
        <v>4</v>
      </c>
      <c r="AC8" s="3">
        <f t="shared" si="4"/>
        <v>9</v>
      </c>
      <c r="AD8" s="3">
        <f t="shared" si="4"/>
        <v>15</v>
      </c>
      <c r="AE8" s="3">
        <f t="shared" si="4"/>
        <v>21</v>
      </c>
      <c r="AF8" s="3">
        <f t="shared" si="4"/>
        <v>26</v>
      </c>
      <c r="AG8" s="3">
        <f t="shared" si="4"/>
        <v>29</v>
      </c>
      <c r="AH8" s="3">
        <f t="shared" si="4"/>
        <v>52</v>
      </c>
      <c r="AI8" s="3">
        <f t="shared" si="4"/>
        <v>37</v>
      </c>
      <c r="AJ8" s="3">
        <f t="shared" si="4"/>
        <v>54</v>
      </c>
      <c r="AK8" s="3">
        <f t="shared" si="4"/>
        <v>49</v>
      </c>
      <c r="AL8" s="3">
        <f t="shared" si="4"/>
        <v>47</v>
      </c>
      <c r="AM8" s="3">
        <f t="shared" si="4"/>
        <v>42</v>
      </c>
      <c r="AN8" s="3">
        <f t="shared" si="4"/>
        <v>26</v>
      </c>
      <c r="AO8" s="3">
        <f t="shared" si="4"/>
        <v>22</v>
      </c>
      <c r="AP8" s="3">
        <f t="shared" si="4"/>
        <v>19</v>
      </c>
      <c r="AQ8" s="3">
        <f t="shared" si="4"/>
        <v>15</v>
      </c>
      <c r="AR8" s="3">
        <f t="shared" si="4"/>
        <v>4</v>
      </c>
      <c r="AS8" s="3">
        <f t="shared" si="4"/>
        <v>6</v>
      </c>
      <c r="AT8" s="3">
        <f t="shared" si="4"/>
        <v>4</v>
      </c>
    </row>
    <row r="9" spans="2:46" ht="32.450000000000003" customHeight="1" x14ac:dyDescent="0.3">
      <c r="H9" s="66"/>
      <c r="I9" s="22"/>
      <c r="J9" s="14"/>
      <c r="K9" s="22"/>
      <c r="L9" s="21"/>
      <c r="M9" s="8"/>
      <c r="N9" s="5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</row>
    <row r="10" spans="2:46" ht="19.899999999999999" customHeight="1" x14ac:dyDescent="0.4">
      <c r="H10" s="66"/>
      <c r="I10" s="22"/>
      <c r="J10" s="14"/>
      <c r="K10" s="22"/>
      <c r="L10" s="21"/>
      <c r="M10" s="8"/>
      <c r="O10" s="55" t="s">
        <v>37</v>
      </c>
    </row>
    <row r="11" spans="2:46" ht="19.899999999999999" customHeight="1" thickBot="1" x14ac:dyDescent="0.35">
      <c r="H11" s="66"/>
      <c r="I11" s="22"/>
      <c r="J11" s="14"/>
      <c r="K11" s="22"/>
      <c r="L11" s="21"/>
      <c r="M11" s="8"/>
      <c r="N11" s="5" t="s">
        <v>38</v>
      </c>
      <c r="O11" s="13">
        <f t="shared" ref="O11:AT11" si="5">_xlfn.NORM.DIST(O6,$J$6,$K$6,FALSE)*COUNT($E$14:$F$1424)*$I$27/100*step</f>
        <v>1.2727254470240599E-2</v>
      </c>
      <c r="P11" s="13">
        <f t="shared" si="5"/>
        <v>9.7760646666571391E-17</v>
      </c>
      <c r="Q11" s="13">
        <f t="shared" si="5"/>
        <v>1.0428728379789118E-41</v>
      </c>
      <c r="R11" s="13">
        <f t="shared" si="5"/>
        <v>1.5450288709717013E-77</v>
      </c>
      <c r="S11" s="13">
        <f t="shared" si="5"/>
        <v>3.1789214341465293E-124</v>
      </c>
      <c r="T11" s="13">
        <f t="shared" si="5"/>
        <v>9.083661509393344E-182</v>
      </c>
      <c r="U11" s="13">
        <f t="shared" si="5"/>
        <v>3.6047906064883175E-250</v>
      </c>
      <c r="V11" s="13">
        <f t="shared" si="5"/>
        <v>0</v>
      </c>
      <c r="W11" s="13">
        <f t="shared" si="5"/>
        <v>0</v>
      </c>
      <c r="X11" s="13">
        <f t="shared" si="5"/>
        <v>0</v>
      </c>
      <c r="Y11" s="13">
        <f t="shared" si="5"/>
        <v>0</v>
      </c>
      <c r="Z11" s="13">
        <f t="shared" si="5"/>
        <v>0</v>
      </c>
      <c r="AA11" s="13">
        <f t="shared" si="5"/>
        <v>0</v>
      </c>
      <c r="AB11" s="13">
        <f t="shared" si="5"/>
        <v>0</v>
      </c>
      <c r="AC11" s="13">
        <f t="shared" si="5"/>
        <v>0</v>
      </c>
      <c r="AD11" s="13">
        <f t="shared" si="5"/>
        <v>0</v>
      </c>
      <c r="AE11" s="13">
        <f t="shared" si="5"/>
        <v>0</v>
      </c>
      <c r="AF11" s="13">
        <f t="shared" si="5"/>
        <v>0</v>
      </c>
      <c r="AG11" s="13">
        <f t="shared" si="5"/>
        <v>0</v>
      </c>
      <c r="AH11" s="13">
        <f t="shared" si="5"/>
        <v>0</v>
      </c>
      <c r="AI11" s="13">
        <f t="shared" si="5"/>
        <v>0</v>
      </c>
      <c r="AJ11" s="13">
        <f t="shared" si="5"/>
        <v>0</v>
      </c>
      <c r="AK11" s="13">
        <f t="shared" si="5"/>
        <v>0</v>
      </c>
      <c r="AL11" s="13">
        <f t="shared" si="5"/>
        <v>0</v>
      </c>
      <c r="AM11" s="13">
        <f t="shared" si="5"/>
        <v>0</v>
      </c>
      <c r="AN11" s="13">
        <f t="shared" si="5"/>
        <v>0</v>
      </c>
      <c r="AO11" s="13">
        <f t="shared" si="5"/>
        <v>0</v>
      </c>
      <c r="AP11" s="13">
        <f t="shared" si="5"/>
        <v>0</v>
      </c>
      <c r="AQ11" s="13">
        <f t="shared" si="5"/>
        <v>0</v>
      </c>
      <c r="AR11" s="13">
        <f t="shared" si="5"/>
        <v>0</v>
      </c>
      <c r="AS11" s="13">
        <f t="shared" si="5"/>
        <v>0</v>
      </c>
      <c r="AT11" s="13">
        <f t="shared" si="5"/>
        <v>0</v>
      </c>
    </row>
    <row r="12" spans="2:46" ht="19.899999999999999" customHeight="1" x14ac:dyDescent="0.25">
      <c r="C12" s="169" t="s">
        <v>35</v>
      </c>
      <c r="D12" s="170"/>
      <c r="E12" s="169" t="s">
        <v>36</v>
      </c>
      <c r="F12" s="170"/>
      <c r="H12" s="66"/>
      <c r="I12" s="22"/>
      <c r="J12" s="14"/>
      <c r="K12" s="22"/>
      <c r="L12" s="21"/>
      <c r="M12" s="8"/>
      <c r="N12" s="5" t="s">
        <v>39</v>
      </c>
      <c r="O12" s="13">
        <f t="shared" ref="O12:AT12" si="6">_xlfn.NORM.DIST(O6,$L$6,$M$6,FALSE) * COUNT($E$14:$F$1424) * (100-$I$27)/100*step</f>
        <v>1.2599981925538193</v>
      </c>
      <c r="P12" s="13">
        <f t="shared" si="6"/>
        <v>9.6783040199905672E-15</v>
      </c>
      <c r="Q12" s="13">
        <f t="shared" si="6"/>
        <v>1.0324441095991228E-39</v>
      </c>
      <c r="R12" s="13">
        <f t="shared" si="6"/>
        <v>1.5295785822619842E-75</v>
      </c>
      <c r="S12" s="13">
        <f t="shared" si="6"/>
        <v>3.1471322198050638E-122</v>
      </c>
      <c r="T12" s="13">
        <f t="shared" si="6"/>
        <v>8.9928248942994108E-180</v>
      </c>
      <c r="U12" s="13">
        <f t="shared" si="6"/>
        <v>3.5687427004234346E-248</v>
      </c>
      <c r="V12" s="13">
        <f t="shared" si="6"/>
        <v>0</v>
      </c>
      <c r="W12" s="13">
        <f t="shared" si="6"/>
        <v>0</v>
      </c>
      <c r="X12" s="13">
        <f t="shared" si="6"/>
        <v>0</v>
      </c>
      <c r="Y12" s="13">
        <f t="shared" si="6"/>
        <v>0</v>
      </c>
      <c r="Z12" s="13">
        <f t="shared" si="6"/>
        <v>0</v>
      </c>
      <c r="AA12" s="13">
        <f t="shared" si="6"/>
        <v>0</v>
      </c>
      <c r="AB12" s="13">
        <f t="shared" si="6"/>
        <v>0</v>
      </c>
      <c r="AC12" s="13">
        <f t="shared" si="6"/>
        <v>0</v>
      </c>
      <c r="AD12" s="13">
        <f t="shared" si="6"/>
        <v>0</v>
      </c>
      <c r="AE12" s="13">
        <f t="shared" si="6"/>
        <v>0</v>
      </c>
      <c r="AF12" s="13">
        <f t="shared" si="6"/>
        <v>0</v>
      </c>
      <c r="AG12" s="13">
        <f t="shared" si="6"/>
        <v>0</v>
      </c>
      <c r="AH12" s="13">
        <f t="shared" si="6"/>
        <v>0</v>
      </c>
      <c r="AI12" s="13">
        <f t="shared" si="6"/>
        <v>0</v>
      </c>
      <c r="AJ12" s="13">
        <f t="shared" si="6"/>
        <v>0</v>
      </c>
      <c r="AK12" s="13">
        <f t="shared" si="6"/>
        <v>0</v>
      </c>
      <c r="AL12" s="13">
        <f t="shared" si="6"/>
        <v>0</v>
      </c>
      <c r="AM12" s="13">
        <f t="shared" si="6"/>
        <v>0</v>
      </c>
      <c r="AN12" s="13">
        <f t="shared" si="6"/>
        <v>0</v>
      </c>
      <c r="AO12" s="13">
        <f t="shared" si="6"/>
        <v>0</v>
      </c>
      <c r="AP12" s="13">
        <f t="shared" si="6"/>
        <v>0</v>
      </c>
      <c r="AQ12" s="13">
        <f t="shared" si="6"/>
        <v>0</v>
      </c>
      <c r="AR12" s="13">
        <f t="shared" si="6"/>
        <v>0</v>
      </c>
      <c r="AS12" s="13">
        <f t="shared" si="6"/>
        <v>0</v>
      </c>
      <c r="AT12" s="13">
        <f t="shared" si="6"/>
        <v>0</v>
      </c>
    </row>
    <row r="13" spans="2:46" ht="19.899999999999999" customHeight="1" thickBot="1" x14ac:dyDescent="0.3">
      <c r="C13" s="171"/>
      <c r="D13" s="172"/>
      <c r="E13" s="171"/>
      <c r="F13" s="172"/>
      <c r="H13" s="66"/>
      <c r="I13" s="22"/>
      <c r="J13" s="14"/>
      <c r="K13" s="22"/>
      <c r="L13" s="21"/>
      <c r="M13" s="8"/>
      <c r="N13" s="5" t="s">
        <v>40</v>
      </c>
      <c r="O13" s="13">
        <f t="shared" ref="O13:AT13" si="7">O11+O12</f>
        <v>1.2727254470240599</v>
      </c>
      <c r="P13" s="13">
        <f t="shared" si="7"/>
        <v>9.7760646666571393E-15</v>
      </c>
      <c r="Q13" s="13">
        <f t="shared" si="7"/>
        <v>1.0428728379789119E-39</v>
      </c>
      <c r="R13" s="13">
        <f t="shared" si="7"/>
        <v>1.5450288709717012E-75</v>
      </c>
      <c r="S13" s="13">
        <f t="shared" si="7"/>
        <v>3.178921434146529E-122</v>
      </c>
      <c r="T13" s="13">
        <f t="shared" si="7"/>
        <v>9.0836615093933442E-180</v>
      </c>
      <c r="U13" s="13">
        <f t="shared" si="7"/>
        <v>3.6047906064883176E-248</v>
      </c>
      <c r="V13" s="13">
        <f t="shared" si="7"/>
        <v>0</v>
      </c>
      <c r="W13" s="13">
        <f t="shared" si="7"/>
        <v>0</v>
      </c>
      <c r="X13" s="13">
        <f t="shared" si="7"/>
        <v>0</v>
      </c>
      <c r="Y13" s="13">
        <f t="shared" si="7"/>
        <v>0</v>
      </c>
      <c r="Z13" s="13">
        <f t="shared" si="7"/>
        <v>0</v>
      </c>
      <c r="AA13" s="13">
        <f t="shared" si="7"/>
        <v>0</v>
      </c>
      <c r="AB13" s="13">
        <f t="shared" si="7"/>
        <v>0</v>
      </c>
      <c r="AC13" s="13">
        <f t="shared" si="7"/>
        <v>0</v>
      </c>
      <c r="AD13" s="13">
        <f t="shared" si="7"/>
        <v>0</v>
      </c>
      <c r="AE13" s="13">
        <f t="shared" si="7"/>
        <v>0</v>
      </c>
      <c r="AF13" s="13">
        <f t="shared" si="7"/>
        <v>0</v>
      </c>
      <c r="AG13" s="13">
        <f t="shared" si="7"/>
        <v>0</v>
      </c>
      <c r="AH13" s="13">
        <f t="shared" si="7"/>
        <v>0</v>
      </c>
      <c r="AI13" s="13">
        <f t="shared" si="7"/>
        <v>0</v>
      </c>
      <c r="AJ13" s="13">
        <f t="shared" si="7"/>
        <v>0</v>
      </c>
      <c r="AK13" s="13">
        <f t="shared" si="7"/>
        <v>0</v>
      </c>
      <c r="AL13" s="13">
        <f t="shared" si="7"/>
        <v>0</v>
      </c>
      <c r="AM13" s="13">
        <f t="shared" si="7"/>
        <v>0</v>
      </c>
      <c r="AN13" s="13">
        <f t="shared" si="7"/>
        <v>0</v>
      </c>
      <c r="AO13" s="13">
        <f t="shared" si="7"/>
        <v>0</v>
      </c>
      <c r="AP13" s="13">
        <f t="shared" si="7"/>
        <v>0</v>
      </c>
      <c r="AQ13" s="13">
        <f t="shared" si="7"/>
        <v>0</v>
      </c>
      <c r="AR13" s="13">
        <f t="shared" si="7"/>
        <v>0</v>
      </c>
      <c r="AS13" s="13">
        <f t="shared" si="7"/>
        <v>0</v>
      </c>
      <c r="AT13" s="13">
        <f t="shared" si="7"/>
        <v>0</v>
      </c>
    </row>
    <row r="14" spans="2:46" ht="16.149999999999999" customHeight="1" x14ac:dyDescent="0.3">
      <c r="C14" s="56">
        <f t="shared" ref="C14:D33" ca="1" si="8">_xlfn.NORM.INV(RAND(),C$4,C$5)</f>
        <v>65.244431187446168</v>
      </c>
      <c r="D14" s="56">
        <f t="shared" ca="1" si="8"/>
        <v>133.03883263157073</v>
      </c>
      <c r="E14" s="57">
        <v>55.761207881365095</v>
      </c>
      <c r="F14" s="57">
        <v>132.73877073265234</v>
      </c>
      <c r="H14" s="66"/>
      <c r="I14" s="22"/>
      <c r="J14" s="14"/>
      <c r="K14" s="22"/>
      <c r="L14" s="21"/>
      <c r="M14" s="8"/>
    </row>
    <row r="15" spans="2:46" ht="16.149999999999999" customHeight="1" x14ac:dyDescent="0.3">
      <c r="C15" s="31">
        <f t="shared" ca="1" si="8"/>
        <v>69.137891059515695</v>
      </c>
      <c r="D15" s="31">
        <f t="shared" ca="1" si="8"/>
        <v>88.255052228851071</v>
      </c>
      <c r="E15" s="32">
        <v>59.51845323562744</v>
      </c>
      <c r="F15" s="32">
        <v>124.3401098428234</v>
      </c>
      <c r="H15" s="66"/>
      <c r="I15" s="22"/>
      <c r="J15" s="14"/>
      <c r="K15" s="22"/>
      <c r="L15" s="21"/>
      <c r="M15" s="8"/>
      <c r="N15" s="5"/>
    </row>
    <row r="16" spans="2:46" ht="16.149999999999999" customHeight="1" x14ac:dyDescent="0.3">
      <c r="C16" s="31">
        <f t="shared" ca="1" si="8"/>
        <v>63.956913385348265</v>
      </c>
      <c r="D16" s="31">
        <f t="shared" ca="1" si="8"/>
        <v>104.15618190305295</v>
      </c>
      <c r="E16" s="32">
        <v>71.200217271666162</v>
      </c>
      <c r="F16" s="32">
        <v>96.790730152291331</v>
      </c>
      <c r="H16" s="66"/>
      <c r="I16" s="22"/>
      <c r="J16" s="14"/>
      <c r="K16" s="22"/>
      <c r="L16" s="21"/>
      <c r="M16" s="8"/>
    </row>
    <row r="17" spans="3:13" ht="16.149999999999999" customHeight="1" x14ac:dyDescent="0.3">
      <c r="C17" s="31">
        <f t="shared" ca="1" si="8"/>
        <v>62.960590565917244</v>
      </c>
      <c r="D17" s="31">
        <f t="shared" ca="1" si="8"/>
        <v>76.329402398591128</v>
      </c>
      <c r="E17" s="32">
        <v>57.793729252365161</v>
      </c>
      <c r="F17" s="32">
        <v>128.20710428778344</v>
      </c>
      <c r="H17" s="66"/>
      <c r="I17" s="22"/>
      <c r="J17" s="14"/>
      <c r="K17" s="22"/>
      <c r="L17" s="21"/>
      <c r="M17" s="8"/>
    </row>
    <row r="18" spans="3:13" ht="16.149999999999999" customHeight="1" x14ac:dyDescent="0.3">
      <c r="C18" s="31">
        <f t="shared" ca="1" si="8"/>
        <v>58.523580073210645</v>
      </c>
      <c r="D18" s="31">
        <f t="shared" ca="1" si="8"/>
        <v>114.58086946261942</v>
      </c>
      <c r="E18" s="32">
        <v>68.315341448371171</v>
      </c>
      <c r="F18" s="32">
        <v>66.60917875234432</v>
      </c>
      <c r="H18" s="66"/>
      <c r="I18" s="22"/>
      <c r="J18" s="14"/>
      <c r="K18" s="22"/>
      <c r="L18" s="21"/>
      <c r="M18" s="8"/>
    </row>
    <row r="19" spans="3:13" ht="16.149999999999999" customHeight="1" x14ac:dyDescent="0.3">
      <c r="C19" s="31">
        <f t="shared" ca="1" si="8"/>
        <v>56.537257390293121</v>
      </c>
      <c r="D19" s="31">
        <f t="shared" ca="1" si="8"/>
        <v>105.12940556157281</v>
      </c>
      <c r="E19" s="32">
        <v>65.728227424301878</v>
      </c>
      <c r="F19" s="32">
        <v>139.1293094078398</v>
      </c>
      <c r="H19" s="66"/>
      <c r="I19" s="22"/>
      <c r="J19" s="14"/>
      <c r="K19" s="22"/>
      <c r="L19" s="21"/>
      <c r="M19" s="8"/>
    </row>
    <row r="20" spans="3:13" ht="16.149999999999999" customHeight="1" x14ac:dyDescent="0.3">
      <c r="C20" s="31">
        <f t="shared" ca="1" si="8"/>
        <v>57.300142708994109</v>
      </c>
      <c r="D20" s="31">
        <f t="shared" ca="1" si="8"/>
        <v>108.34208852020006</v>
      </c>
      <c r="E20" s="32">
        <v>67.094170351232265</v>
      </c>
      <c r="F20" s="32">
        <v>116.0516476748322</v>
      </c>
      <c r="H20" s="66"/>
      <c r="I20" s="22"/>
      <c r="J20" s="14"/>
      <c r="K20" s="22"/>
      <c r="L20" s="21"/>
      <c r="M20" s="8"/>
    </row>
    <row r="21" spans="3:13" ht="16.149999999999999" customHeight="1" x14ac:dyDescent="0.3">
      <c r="C21" s="31">
        <f t="shared" ca="1" si="8"/>
        <v>81.625685249788276</v>
      </c>
      <c r="D21" s="31">
        <f t="shared" ca="1" si="8"/>
        <v>142.35891669089702</v>
      </c>
      <c r="E21" s="32">
        <v>65.109761379067493</v>
      </c>
      <c r="F21" s="32">
        <v>113.39459809446238</v>
      </c>
      <c r="H21" s="66"/>
      <c r="I21" s="22"/>
      <c r="J21" s="14"/>
      <c r="K21" s="22"/>
      <c r="L21" s="21"/>
      <c r="M21" s="8"/>
    </row>
    <row r="22" spans="3:13" ht="16.149999999999999" customHeight="1" x14ac:dyDescent="0.3">
      <c r="C22" s="31">
        <f t="shared" ca="1" si="8"/>
        <v>56.790672467747918</v>
      </c>
      <c r="D22" s="31">
        <f t="shared" ca="1" si="8"/>
        <v>95.121680525859887</v>
      </c>
      <c r="E22" s="32">
        <v>45.711514468716707</v>
      </c>
      <c r="F22" s="32">
        <v>85.839334656015595</v>
      </c>
      <c r="H22" s="66"/>
      <c r="I22" s="22"/>
      <c r="J22" s="14"/>
      <c r="K22" s="22"/>
      <c r="L22" s="21"/>
      <c r="M22" s="8"/>
    </row>
    <row r="23" spans="3:13" ht="16.149999999999999" customHeight="1" x14ac:dyDescent="0.3">
      <c r="C23" s="31">
        <f t="shared" ca="1" si="8"/>
        <v>74.780624265622038</v>
      </c>
      <c r="D23" s="31">
        <f t="shared" ca="1" si="8"/>
        <v>88.852857972624008</v>
      </c>
      <c r="E23" s="32">
        <v>62.131490481652044</v>
      </c>
      <c r="F23" s="32">
        <v>152.61221341133455</v>
      </c>
      <c r="H23" s="66"/>
      <c r="I23" s="22"/>
      <c r="J23" s="14"/>
      <c r="K23" s="22"/>
      <c r="L23" s="21"/>
      <c r="M23" s="8"/>
    </row>
    <row r="24" spans="3:13" ht="16.149999999999999" customHeight="1" x14ac:dyDescent="0.3">
      <c r="C24" s="31">
        <f t="shared" ca="1" si="8"/>
        <v>62.57723998403285</v>
      </c>
      <c r="D24" s="31">
        <f t="shared" ca="1" si="8"/>
        <v>114.71041113342578</v>
      </c>
      <c r="E24" s="32">
        <v>70.350916122882978</v>
      </c>
      <c r="F24" s="32">
        <v>107.95860585255124</v>
      </c>
      <c r="H24" s="66"/>
      <c r="I24" s="22"/>
      <c r="J24" s="14"/>
      <c r="K24" s="22"/>
      <c r="L24" s="21"/>
      <c r="M24" s="8"/>
    </row>
    <row r="25" spans="3:13" ht="16.149999999999999" customHeight="1" thickBot="1" x14ac:dyDescent="0.35">
      <c r="C25" s="31">
        <f t="shared" ca="1" si="8"/>
        <v>59.676182900819533</v>
      </c>
      <c r="D25" s="31">
        <f t="shared" ca="1" si="8"/>
        <v>111.79769632022597</v>
      </c>
      <c r="E25" s="32">
        <v>48.919641424198765</v>
      </c>
      <c r="F25" s="32">
        <v>101.15719755118531</v>
      </c>
      <c r="H25" s="67"/>
      <c r="I25" s="24"/>
      <c r="J25" s="62"/>
      <c r="K25" s="24"/>
      <c r="L25" s="23"/>
      <c r="M25" s="25"/>
    </row>
    <row r="26" spans="3:13" ht="16.149999999999999" customHeight="1" x14ac:dyDescent="0.3">
      <c r="C26" s="31">
        <f t="shared" ca="1" si="8"/>
        <v>63.140836479165884</v>
      </c>
      <c r="D26" s="31">
        <f t="shared" ca="1" si="8"/>
        <v>114.60682334601981</v>
      </c>
      <c r="E26" s="32">
        <v>56.028967291602243</v>
      </c>
      <c r="F26" s="32">
        <v>113.96220444532393</v>
      </c>
      <c r="I26" s="17"/>
    </row>
    <row r="27" spans="3:13" ht="16.149999999999999" customHeight="1" x14ac:dyDescent="0.3">
      <c r="C27" s="31">
        <f t="shared" ca="1" si="8"/>
        <v>58.266917363888155</v>
      </c>
      <c r="D27" s="31">
        <f t="shared" ca="1" si="8"/>
        <v>80.824792645953465</v>
      </c>
      <c r="E27" s="32">
        <v>62.730084385893605</v>
      </c>
      <c r="F27" s="32">
        <v>84.903951975437124</v>
      </c>
      <c r="I27" s="70">
        <v>1</v>
      </c>
    </row>
    <row r="28" spans="3:13" ht="16.149999999999999" customHeight="1" x14ac:dyDescent="0.3">
      <c r="C28" s="31">
        <f t="shared" ca="1" si="8"/>
        <v>85.565707827798036</v>
      </c>
      <c r="D28" s="31">
        <f t="shared" ca="1" si="8"/>
        <v>138.2624211035652</v>
      </c>
      <c r="E28" s="32">
        <v>72.362953016670104</v>
      </c>
      <c r="F28" s="32">
        <v>125.34582995151294</v>
      </c>
      <c r="I28" s="17"/>
    </row>
    <row r="29" spans="3:13" ht="16.149999999999999" customHeight="1" x14ac:dyDescent="0.3">
      <c r="C29" s="31">
        <f t="shared" ca="1" si="8"/>
        <v>94.639561960353035</v>
      </c>
      <c r="D29" s="31">
        <f t="shared" ca="1" si="8"/>
        <v>120.99811052984035</v>
      </c>
      <c r="E29" s="32">
        <v>56.342749648363366</v>
      </c>
      <c r="F29" s="32">
        <v>101.43253637132959</v>
      </c>
      <c r="I29" s="17"/>
    </row>
    <row r="30" spans="3:13" ht="16.149999999999999" customHeight="1" x14ac:dyDescent="0.3">
      <c r="C30" s="31">
        <f t="shared" ca="1" si="8"/>
        <v>56.751253614719737</v>
      </c>
      <c r="D30" s="31">
        <f t="shared" ca="1" si="8"/>
        <v>108.98515304311361</v>
      </c>
      <c r="E30" s="32">
        <v>34.772123967684145</v>
      </c>
      <c r="F30" s="32">
        <v>116.09586569761137</v>
      </c>
      <c r="I30" s="17"/>
    </row>
    <row r="31" spans="3:13" ht="16.149999999999999" customHeight="1" x14ac:dyDescent="0.3">
      <c r="C31" s="31">
        <f t="shared" ca="1" si="8"/>
        <v>43.113301202075476</v>
      </c>
      <c r="D31" s="31">
        <f t="shared" ca="1" si="8"/>
        <v>103.7272007184484</v>
      </c>
      <c r="E31" s="32">
        <v>77.665382746105024</v>
      </c>
      <c r="F31" s="32">
        <v>137.07349796362101</v>
      </c>
      <c r="I31" s="17"/>
    </row>
    <row r="32" spans="3:13" ht="16.149999999999999" customHeight="1" x14ac:dyDescent="0.3">
      <c r="C32" s="31">
        <f t="shared" ca="1" si="8"/>
        <v>63.888809825965716</v>
      </c>
      <c r="D32" s="31">
        <f t="shared" ca="1" si="8"/>
        <v>120.04211818648224</v>
      </c>
      <c r="E32" s="32">
        <v>55.709458984885764</v>
      </c>
      <c r="F32" s="32">
        <v>142.88911515234076</v>
      </c>
      <c r="I32" s="17"/>
    </row>
    <row r="33" spans="3:9" x14ac:dyDescent="0.25">
      <c r="C33" s="31">
        <f t="shared" ca="1" si="8"/>
        <v>64.131099742118479</v>
      </c>
      <c r="D33" s="31">
        <f t="shared" ca="1" si="8"/>
        <v>151.53264783545472</v>
      </c>
      <c r="E33" s="32">
        <v>56.581614773794875</v>
      </c>
      <c r="F33" s="32">
        <v>155.97513178865557</v>
      </c>
      <c r="I33" s="17"/>
    </row>
    <row r="34" spans="3:9" x14ac:dyDescent="0.25">
      <c r="C34" s="31">
        <f t="shared" ref="C34:D53" ca="1" si="9">_xlfn.NORM.INV(RAND(),C$4,C$5)</f>
        <v>65.03747034310355</v>
      </c>
      <c r="D34" s="31">
        <f t="shared" ca="1" si="9"/>
        <v>97.232205401867873</v>
      </c>
      <c r="E34" s="32">
        <v>41.227531267891152</v>
      </c>
      <c r="F34" s="32">
        <v>69.411644662704333</v>
      </c>
      <c r="I34" s="17"/>
    </row>
    <row r="35" spans="3:9" x14ac:dyDescent="0.25">
      <c r="C35" s="31">
        <f t="shared" ca="1" si="9"/>
        <v>51.934513905570775</v>
      </c>
      <c r="D35" s="31">
        <f t="shared" ca="1" si="9"/>
        <v>73.419022723784437</v>
      </c>
      <c r="E35" s="32">
        <v>70.708969596444689</v>
      </c>
      <c r="F35" s="32">
        <v>93.142370478569688</v>
      </c>
      <c r="I35" s="17"/>
    </row>
    <row r="36" spans="3:9" x14ac:dyDescent="0.25">
      <c r="C36" s="31">
        <f t="shared" ca="1" si="9"/>
        <v>54.202791349238211</v>
      </c>
      <c r="D36" s="31">
        <f t="shared" ca="1" si="9"/>
        <v>148.91752436515753</v>
      </c>
      <c r="E36" s="32">
        <v>48.59457401736725</v>
      </c>
      <c r="F36" s="32">
        <v>111.63661918358065</v>
      </c>
      <c r="I36" s="17"/>
    </row>
    <row r="37" spans="3:9" x14ac:dyDescent="0.25">
      <c r="C37" s="31">
        <f t="shared" ca="1" si="9"/>
        <v>75.493096440724202</v>
      </c>
      <c r="D37" s="31">
        <f t="shared" ca="1" si="9"/>
        <v>118.33962950098002</v>
      </c>
      <c r="E37" s="32">
        <v>75.546229507460538</v>
      </c>
      <c r="F37" s="32">
        <v>89.747510343558119</v>
      </c>
      <c r="I37" s="17"/>
    </row>
    <row r="38" spans="3:9" x14ac:dyDescent="0.25">
      <c r="C38" s="31">
        <f t="shared" ca="1" si="9"/>
        <v>72.268695493731926</v>
      </c>
      <c r="D38" s="31">
        <f t="shared" ca="1" si="9"/>
        <v>141.58933810086725</v>
      </c>
      <c r="E38" s="32">
        <v>66.36012070722947</v>
      </c>
      <c r="F38" s="32">
        <v>98.260632686326971</v>
      </c>
      <c r="I38" s="17"/>
    </row>
    <row r="39" spans="3:9" x14ac:dyDescent="0.25">
      <c r="C39" s="31">
        <f t="shared" ca="1" si="9"/>
        <v>45.356159041779378</v>
      </c>
      <c r="D39" s="31">
        <f t="shared" ca="1" si="9"/>
        <v>100.31229331434324</v>
      </c>
      <c r="E39" s="32">
        <v>68.253959526875548</v>
      </c>
      <c r="F39" s="32">
        <v>117.45053941383804</v>
      </c>
      <c r="I39" s="17"/>
    </row>
    <row r="40" spans="3:9" x14ac:dyDescent="0.25">
      <c r="C40" s="31">
        <f t="shared" ca="1" si="9"/>
        <v>62.825342313378606</v>
      </c>
      <c r="D40" s="31">
        <f t="shared" ca="1" si="9"/>
        <v>68.299191559036004</v>
      </c>
      <c r="E40" s="32">
        <v>63.365048576987405</v>
      </c>
      <c r="F40" s="32">
        <v>109.20716917162629</v>
      </c>
      <c r="I40" s="17"/>
    </row>
    <row r="41" spans="3:9" x14ac:dyDescent="0.25">
      <c r="C41" s="31">
        <f t="shared" ca="1" si="9"/>
        <v>79.259935254752861</v>
      </c>
      <c r="D41" s="31">
        <f t="shared" ca="1" si="9"/>
        <v>130.62298689337274</v>
      </c>
      <c r="E41" s="32">
        <v>67.521262665214408</v>
      </c>
      <c r="F41" s="32">
        <v>111.18324111147949</v>
      </c>
      <c r="I41" s="17"/>
    </row>
    <row r="42" spans="3:9" x14ac:dyDescent="0.25">
      <c r="C42" s="31">
        <f t="shared" ca="1" si="9"/>
        <v>72.810378029888767</v>
      </c>
      <c r="D42" s="31">
        <f t="shared" ca="1" si="9"/>
        <v>106.95586227876346</v>
      </c>
      <c r="E42" s="32">
        <v>71.387127609772534</v>
      </c>
      <c r="F42" s="32">
        <v>124.44981907201519</v>
      </c>
      <c r="I42" s="17"/>
    </row>
    <row r="43" spans="3:9" x14ac:dyDescent="0.25">
      <c r="C43" s="31">
        <f t="shared" ca="1" si="9"/>
        <v>83.757935726730523</v>
      </c>
      <c r="D43" s="31">
        <f t="shared" ca="1" si="9"/>
        <v>113.82114396927442</v>
      </c>
      <c r="E43" s="32">
        <v>65.091763057216951</v>
      </c>
      <c r="F43" s="32">
        <v>81.106777155936854</v>
      </c>
      <c r="I43" s="17"/>
    </row>
    <row r="44" spans="3:9" x14ac:dyDescent="0.25">
      <c r="C44" s="31">
        <f t="shared" ca="1" si="9"/>
        <v>48.318115761058408</v>
      </c>
      <c r="D44" s="31">
        <f t="shared" ca="1" si="9"/>
        <v>126.00246153350079</v>
      </c>
      <c r="E44" s="32">
        <v>52.846541038403963</v>
      </c>
      <c r="F44" s="32">
        <v>120.31998772737673</v>
      </c>
      <c r="I44" s="17"/>
    </row>
    <row r="45" spans="3:9" x14ac:dyDescent="0.25">
      <c r="C45" s="31">
        <f t="shared" ca="1" si="9"/>
        <v>65.433489237595055</v>
      </c>
      <c r="D45" s="31">
        <f t="shared" ca="1" si="9"/>
        <v>135.82535354118704</v>
      </c>
      <c r="E45" s="32">
        <v>61.015381528224566</v>
      </c>
      <c r="F45" s="32">
        <v>92.791353055428544</v>
      </c>
      <c r="I45" s="17"/>
    </row>
    <row r="46" spans="3:9" x14ac:dyDescent="0.25">
      <c r="C46" s="31">
        <f t="shared" ca="1" si="9"/>
        <v>63.45616670666945</v>
      </c>
      <c r="D46" s="31">
        <f t="shared" ca="1" si="9"/>
        <v>103.85810820683707</v>
      </c>
      <c r="E46" s="32">
        <v>57.123860885666666</v>
      </c>
      <c r="F46" s="32">
        <v>109.57199231778517</v>
      </c>
      <c r="I46" s="17"/>
    </row>
    <row r="47" spans="3:9" x14ac:dyDescent="0.25">
      <c r="C47" s="31">
        <f t="shared" ca="1" si="9"/>
        <v>55.539134716962273</v>
      </c>
      <c r="D47" s="31">
        <f t="shared" ca="1" si="9"/>
        <v>82.100139551167757</v>
      </c>
      <c r="E47" s="32">
        <v>67.178928922908526</v>
      </c>
      <c r="F47" s="32">
        <v>121.47186291669627</v>
      </c>
      <c r="I47" s="17"/>
    </row>
    <row r="48" spans="3:9" x14ac:dyDescent="0.25">
      <c r="C48" s="31">
        <f t="shared" ca="1" si="9"/>
        <v>64.524704236166798</v>
      </c>
      <c r="D48" s="31">
        <f t="shared" ca="1" si="9"/>
        <v>133.7795432386219</v>
      </c>
      <c r="E48" s="32">
        <v>66.503961288482103</v>
      </c>
      <c r="F48" s="32">
        <v>143.77287560146956</v>
      </c>
      <c r="I48" s="17"/>
    </row>
    <row r="49" spans="3:12" x14ac:dyDescent="0.25">
      <c r="C49" s="31">
        <f t="shared" ca="1" si="9"/>
        <v>66.858687050470124</v>
      </c>
      <c r="D49" s="31">
        <f t="shared" ca="1" si="9"/>
        <v>162.09135356472436</v>
      </c>
      <c r="E49" s="32">
        <v>80.417614218158704</v>
      </c>
      <c r="F49" s="32">
        <v>142.03455401412606</v>
      </c>
      <c r="I49" s="17"/>
    </row>
    <row r="50" spans="3:12" x14ac:dyDescent="0.25">
      <c r="C50" s="31">
        <f t="shared" ca="1" si="9"/>
        <v>66.331030811710548</v>
      </c>
      <c r="D50" s="31">
        <f t="shared" ca="1" si="9"/>
        <v>79.805956124867208</v>
      </c>
      <c r="E50" s="32">
        <v>53.979173782751822</v>
      </c>
      <c r="F50" s="32">
        <v>140.28534255586163</v>
      </c>
      <c r="I50" s="17"/>
    </row>
    <row r="51" spans="3:12" x14ac:dyDescent="0.25">
      <c r="C51" s="31">
        <f t="shared" ca="1" si="9"/>
        <v>67.54780109151865</v>
      </c>
      <c r="D51" s="31">
        <f t="shared" ca="1" si="9"/>
        <v>131.6214431704571</v>
      </c>
      <c r="E51" s="32">
        <v>83.517976556942656</v>
      </c>
      <c r="F51" s="32">
        <v>103.59537022538473</v>
      </c>
      <c r="I51" s="17"/>
      <c r="J51" s="17"/>
      <c r="K51" s="17"/>
      <c r="L51" s="17"/>
    </row>
    <row r="52" spans="3:12" x14ac:dyDescent="0.25">
      <c r="C52" s="31">
        <f t="shared" ca="1" si="9"/>
        <v>70.58654097661946</v>
      </c>
      <c r="D52" s="31">
        <f t="shared" ca="1" si="9"/>
        <v>97.693717301960888</v>
      </c>
      <c r="E52" s="32">
        <v>51.848374741502766</v>
      </c>
      <c r="F52" s="32">
        <v>113.2859225025006</v>
      </c>
      <c r="I52" s="17"/>
      <c r="J52" s="17"/>
      <c r="K52" s="17"/>
      <c r="L52" s="17"/>
    </row>
    <row r="53" spans="3:12" x14ac:dyDescent="0.25">
      <c r="C53" s="31">
        <f t="shared" ca="1" si="9"/>
        <v>54.968534159822873</v>
      </c>
      <c r="D53" s="31">
        <f t="shared" ca="1" si="9"/>
        <v>140.83873261555544</v>
      </c>
      <c r="E53" s="32">
        <v>38.284924113794204</v>
      </c>
      <c r="F53" s="32">
        <v>106.55643287421638</v>
      </c>
      <c r="I53" s="17"/>
      <c r="J53" s="17"/>
      <c r="K53" s="17"/>
      <c r="L53" s="17"/>
    </row>
    <row r="54" spans="3:12" x14ac:dyDescent="0.25">
      <c r="C54" s="31">
        <f t="shared" ref="C54:D73" ca="1" si="10">_xlfn.NORM.INV(RAND(),C$4,C$5)</f>
        <v>58.038919679519225</v>
      </c>
      <c r="D54" s="31">
        <f t="shared" ca="1" si="10"/>
        <v>84.541213317375679</v>
      </c>
      <c r="E54" s="32">
        <v>42.348231974032231</v>
      </c>
      <c r="F54" s="32">
        <v>155.00744277482156</v>
      </c>
      <c r="I54" s="17"/>
      <c r="J54" s="17"/>
      <c r="K54" s="17"/>
      <c r="L54" s="17"/>
    </row>
    <row r="55" spans="3:12" x14ac:dyDescent="0.25">
      <c r="C55" s="31">
        <f t="shared" ca="1" si="10"/>
        <v>43.00762449273865</v>
      </c>
      <c r="D55" s="31">
        <f t="shared" ca="1" si="10"/>
        <v>137.91102501929254</v>
      </c>
      <c r="E55" s="32">
        <v>81.414486007681091</v>
      </c>
      <c r="F55" s="32">
        <v>99.45408641199478</v>
      </c>
      <c r="I55" s="17"/>
      <c r="J55" s="17"/>
      <c r="K55" s="17"/>
      <c r="L55" s="17"/>
    </row>
    <row r="56" spans="3:12" x14ac:dyDescent="0.25">
      <c r="C56" s="31">
        <f t="shared" ca="1" si="10"/>
        <v>55.002004057863083</v>
      </c>
      <c r="D56" s="31">
        <f t="shared" ca="1" si="10"/>
        <v>83.032530627955381</v>
      </c>
      <c r="E56" s="32">
        <v>47.666022759916125</v>
      </c>
      <c r="F56" s="32">
        <v>122.39422965736522</v>
      </c>
      <c r="I56" s="17"/>
      <c r="J56" s="17"/>
      <c r="K56" s="17"/>
      <c r="L56" s="17"/>
    </row>
    <row r="57" spans="3:12" x14ac:dyDescent="0.25">
      <c r="C57" s="31">
        <f t="shared" ca="1" si="10"/>
        <v>84.992124214969351</v>
      </c>
      <c r="D57" s="31">
        <f t="shared" ca="1" si="10"/>
        <v>127.32480338614634</v>
      </c>
      <c r="E57" s="32">
        <v>50.29452164357135</v>
      </c>
      <c r="F57" s="32">
        <v>116.41324713149668</v>
      </c>
      <c r="I57" s="17"/>
      <c r="J57" s="17"/>
      <c r="K57" s="17"/>
      <c r="L57" s="17"/>
    </row>
    <row r="58" spans="3:12" x14ac:dyDescent="0.25">
      <c r="C58" s="31">
        <f t="shared" ca="1" si="10"/>
        <v>44.938810020087409</v>
      </c>
      <c r="D58" s="31">
        <f t="shared" ca="1" si="10"/>
        <v>122.55815669248749</v>
      </c>
      <c r="E58" s="32">
        <v>60.769361779276934</v>
      </c>
      <c r="F58" s="32">
        <v>112.49871113885521</v>
      </c>
      <c r="I58" s="17"/>
      <c r="J58" s="17"/>
      <c r="K58" s="17"/>
      <c r="L58" s="17"/>
    </row>
    <row r="59" spans="3:12" x14ac:dyDescent="0.25">
      <c r="C59" s="31">
        <f t="shared" ca="1" si="10"/>
        <v>77.565741469024331</v>
      </c>
      <c r="D59" s="31">
        <f t="shared" ca="1" si="10"/>
        <v>69.421768622904381</v>
      </c>
      <c r="E59" s="32">
        <v>58.006757529604371</v>
      </c>
      <c r="F59" s="32">
        <v>140.32338112972832</v>
      </c>
      <c r="I59" s="17"/>
      <c r="J59" s="17"/>
      <c r="K59" s="17"/>
      <c r="L59" s="17"/>
    </row>
    <row r="60" spans="3:12" x14ac:dyDescent="0.25">
      <c r="C60" s="31">
        <f t="shared" ca="1" si="10"/>
        <v>68.097433357570921</v>
      </c>
      <c r="D60" s="31">
        <f t="shared" ca="1" si="10"/>
        <v>107.289491968306</v>
      </c>
      <c r="E60" s="32">
        <v>51.336657499439845</v>
      </c>
      <c r="F60" s="32">
        <v>108.96782373127527</v>
      </c>
      <c r="I60" s="17"/>
      <c r="J60" s="17"/>
      <c r="K60" s="17"/>
      <c r="L60" s="17"/>
    </row>
    <row r="61" spans="3:12" x14ac:dyDescent="0.25">
      <c r="C61" s="31">
        <f t="shared" ca="1" si="10"/>
        <v>40.86938012214101</v>
      </c>
      <c r="D61" s="31">
        <f t="shared" ca="1" si="10"/>
        <v>89.207219376667013</v>
      </c>
      <c r="E61" s="32">
        <v>40.013602495273325</v>
      </c>
      <c r="F61" s="32">
        <v>105.96986507939454</v>
      </c>
      <c r="I61" s="17"/>
      <c r="J61" s="17"/>
      <c r="K61" s="17"/>
      <c r="L61" s="17"/>
    </row>
    <row r="62" spans="3:12" x14ac:dyDescent="0.25">
      <c r="C62" s="31">
        <f t="shared" ca="1" si="10"/>
        <v>80.385716024188838</v>
      </c>
      <c r="D62" s="31">
        <f t="shared" ca="1" si="10"/>
        <v>143.16933907215619</v>
      </c>
      <c r="E62" s="32">
        <v>62.072281970644788</v>
      </c>
      <c r="F62" s="32">
        <v>113.00872933480917</v>
      </c>
      <c r="I62" s="17"/>
      <c r="J62" s="17"/>
      <c r="K62" s="17"/>
      <c r="L62" s="17"/>
    </row>
    <row r="63" spans="3:12" x14ac:dyDescent="0.25">
      <c r="C63" s="31">
        <f t="shared" ca="1" si="10"/>
        <v>76.516562400780714</v>
      </c>
      <c r="D63" s="31">
        <f t="shared" ca="1" si="10"/>
        <v>121.93979345292038</v>
      </c>
      <c r="E63" s="32">
        <v>74.523818975726698</v>
      </c>
      <c r="F63" s="32">
        <v>126.14474341243715</v>
      </c>
      <c r="I63" s="17"/>
      <c r="J63" s="17"/>
      <c r="K63" s="17"/>
      <c r="L63" s="17"/>
    </row>
    <row r="64" spans="3:12" x14ac:dyDescent="0.25">
      <c r="C64" s="31">
        <f t="shared" ca="1" si="10"/>
        <v>67.560604916034833</v>
      </c>
      <c r="D64" s="31">
        <f t="shared" ca="1" si="10"/>
        <v>120.52965298923593</v>
      </c>
      <c r="E64" s="32">
        <v>61.427117257577528</v>
      </c>
      <c r="F64" s="32">
        <v>117.43095688518814</v>
      </c>
      <c r="I64" s="17"/>
      <c r="J64" s="17"/>
      <c r="K64" s="17"/>
      <c r="L64" s="17"/>
    </row>
    <row r="65" spans="3:12" x14ac:dyDescent="0.25">
      <c r="C65" s="31">
        <f t="shared" ca="1" si="10"/>
        <v>67.315668316328171</v>
      </c>
      <c r="D65" s="31">
        <f t="shared" ca="1" si="10"/>
        <v>132.09980113143337</v>
      </c>
      <c r="E65" s="32">
        <v>65.395650972652732</v>
      </c>
      <c r="F65" s="32">
        <v>114.80941505205034</v>
      </c>
      <c r="I65" s="17"/>
      <c r="J65" s="17"/>
      <c r="K65" s="17"/>
      <c r="L65" s="17"/>
    </row>
    <row r="66" spans="3:12" x14ac:dyDescent="0.25">
      <c r="C66" s="31">
        <f t="shared" ca="1" si="10"/>
        <v>63.887864446680567</v>
      </c>
      <c r="D66" s="31">
        <f t="shared" ca="1" si="10"/>
        <v>102.9720689065922</v>
      </c>
      <c r="E66" s="32">
        <v>71.796266790112526</v>
      </c>
      <c r="F66" s="32">
        <v>106.64477091231777</v>
      </c>
      <c r="I66" s="17"/>
      <c r="J66" s="17"/>
      <c r="K66" s="17"/>
      <c r="L66" s="17"/>
    </row>
    <row r="67" spans="3:12" x14ac:dyDescent="0.25">
      <c r="C67" s="31">
        <f t="shared" ca="1" si="10"/>
        <v>63.358414410845668</v>
      </c>
      <c r="D67" s="31">
        <f t="shared" ca="1" si="10"/>
        <v>103.54046075363777</v>
      </c>
      <c r="E67" s="32">
        <v>50.793981459365817</v>
      </c>
      <c r="F67" s="32">
        <v>121.84276438992433</v>
      </c>
      <c r="I67" s="17"/>
      <c r="J67" s="17"/>
      <c r="K67" s="17"/>
      <c r="L67" s="17"/>
    </row>
    <row r="68" spans="3:12" x14ac:dyDescent="0.25">
      <c r="C68" s="31">
        <f t="shared" ca="1" si="10"/>
        <v>72.4448963557589</v>
      </c>
      <c r="D68" s="31">
        <f t="shared" ca="1" si="10"/>
        <v>107.31050275834897</v>
      </c>
      <c r="E68" s="32">
        <v>66.588056751514102</v>
      </c>
      <c r="F68" s="32">
        <v>163.91432017289603</v>
      </c>
      <c r="I68" s="17"/>
      <c r="J68" s="17"/>
      <c r="K68" s="17"/>
      <c r="L68" s="17"/>
    </row>
    <row r="69" spans="3:12" x14ac:dyDescent="0.25">
      <c r="C69" s="31">
        <f t="shared" ca="1" si="10"/>
        <v>52.938373279428433</v>
      </c>
      <c r="D69" s="31">
        <f t="shared" ca="1" si="10"/>
        <v>109.82111969930405</v>
      </c>
      <c r="E69" s="32">
        <v>46.668675899525191</v>
      </c>
      <c r="F69" s="32">
        <v>96.601283222757814</v>
      </c>
      <c r="I69" s="17"/>
      <c r="J69" s="17"/>
      <c r="K69" s="17"/>
      <c r="L69" s="17"/>
    </row>
    <row r="70" spans="3:12" x14ac:dyDescent="0.25">
      <c r="C70" s="31">
        <f t="shared" ca="1" si="10"/>
        <v>58.357662470354136</v>
      </c>
      <c r="D70" s="31">
        <f t="shared" ca="1" si="10"/>
        <v>141.5339360267696</v>
      </c>
      <c r="E70" s="32">
        <v>45.37419668709434</v>
      </c>
      <c r="F70" s="32">
        <v>118.66472864501942</v>
      </c>
      <c r="I70" s="17"/>
      <c r="J70" s="17"/>
      <c r="K70" s="17"/>
      <c r="L70" s="17"/>
    </row>
    <row r="71" spans="3:12" x14ac:dyDescent="0.25">
      <c r="C71" s="31">
        <f t="shared" ca="1" si="10"/>
        <v>65.791033288487696</v>
      </c>
      <c r="D71" s="31">
        <f t="shared" ca="1" si="10"/>
        <v>99.044806693562123</v>
      </c>
      <c r="E71" s="32">
        <v>56.098834461929975</v>
      </c>
      <c r="F71" s="32">
        <v>87.40186455225026</v>
      </c>
      <c r="I71" s="17"/>
      <c r="J71" s="17"/>
      <c r="K71" s="17"/>
      <c r="L71" s="17"/>
    </row>
    <row r="72" spans="3:12" x14ac:dyDescent="0.25">
      <c r="C72" s="31">
        <f t="shared" ca="1" si="10"/>
        <v>52.78317204820987</v>
      </c>
      <c r="D72" s="31">
        <f t="shared" ca="1" si="10"/>
        <v>105.15292493876279</v>
      </c>
      <c r="E72" s="32">
        <v>56.880155009087787</v>
      </c>
      <c r="F72" s="32">
        <v>140.97707266428438</v>
      </c>
      <c r="I72" s="17"/>
      <c r="J72" s="17"/>
      <c r="K72" s="17"/>
      <c r="L72" s="17"/>
    </row>
    <row r="73" spans="3:12" x14ac:dyDescent="0.25">
      <c r="C73" s="31">
        <f t="shared" ca="1" si="10"/>
        <v>58.783883243516257</v>
      </c>
      <c r="D73" s="31">
        <f t="shared" ca="1" si="10"/>
        <v>112.6517110146571</v>
      </c>
      <c r="E73" s="32">
        <v>54.612541714420772</v>
      </c>
      <c r="F73" s="32">
        <v>129.12927086551537</v>
      </c>
      <c r="I73" s="17"/>
      <c r="J73" s="17"/>
      <c r="K73" s="17"/>
      <c r="L73" s="17"/>
    </row>
    <row r="74" spans="3:12" x14ac:dyDescent="0.25">
      <c r="C74" s="31">
        <f t="shared" ref="C74:D93" ca="1" si="11">_xlfn.NORM.INV(RAND(),C$4,C$5)</f>
        <v>62.352176019802563</v>
      </c>
      <c r="D74" s="31">
        <f t="shared" ca="1" si="11"/>
        <v>119.82535992235162</v>
      </c>
      <c r="E74" s="32">
        <v>61.192185225546837</v>
      </c>
      <c r="F74" s="32">
        <v>85.045819800803585</v>
      </c>
      <c r="I74" s="17"/>
      <c r="J74" s="17"/>
      <c r="K74" s="17"/>
      <c r="L74" s="17"/>
    </row>
    <row r="75" spans="3:12" x14ac:dyDescent="0.25">
      <c r="C75" s="31">
        <f t="shared" ca="1" si="11"/>
        <v>57.90626123423155</v>
      </c>
      <c r="D75" s="31">
        <f t="shared" ca="1" si="11"/>
        <v>103.54563256775566</v>
      </c>
      <c r="E75" s="32">
        <v>82.785032697530298</v>
      </c>
      <c r="F75" s="32">
        <v>86.556473754969403</v>
      </c>
      <c r="I75" s="17"/>
      <c r="J75" s="17"/>
      <c r="K75" s="17"/>
      <c r="L75" s="17"/>
    </row>
    <row r="76" spans="3:12" x14ac:dyDescent="0.25">
      <c r="C76" s="31">
        <f t="shared" ca="1" si="11"/>
        <v>64.697191202885776</v>
      </c>
      <c r="D76" s="31">
        <f t="shared" ca="1" si="11"/>
        <v>107.52630911537216</v>
      </c>
      <c r="E76" s="32">
        <v>59.771236020572438</v>
      </c>
      <c r="F76" s="32">
        <v>130.5723178804723</v>
      </c>
      <c r="I76" s="17"/>
      <c r="J76" s="17"/>
      <c r="K76" s="17"/>
      <c r="L76" s="17"/>
    </row>
    <row r="77" spans="3:12" x14ac:dyDescent="0.25">
      <c r="C77" s="31">
        <f t="shared" ca="1" si="11"/>
        <v>53.560387912439303</v>
      </c>
      <c r="D77" s="31">
        <f t="shared" ca="1" si="11"/>
        <v>90.120087064296811</v>
      </c>
      <c r="E77" s="32">
        <v>58.751825253809955</v>
      </c>
      <c r="F77" s="32">
        <v>110.76117504915602</v>
      </c>
      <c r="I77" s="17"/>
      <c r="J77" s="17"/>
      <c r="K77" s="17"/>
      <c r="L77" s="17"/>
    </row>
    <row r="78" spans="3:12" x14ac:dyDescent="0.25">
      <c r="C78" s="31">
        <f t="shared" ca="1" si="11"/>
        <v>68.265657768122153</v>
      </c>
      <c r="D78" s="31">
        <f t="shared" ca="1" si="11"/>
        <v>78.48401781887938</v>
      </c>
      <c r="E78" s="32">
        <v>43.514066366972095</v>
      </c>
      <c r="F78" s="32">
        <v>134.39747402657702</v>
      </c>
      <c r="I78" s="17"/>
      <c r="J78" s="17"/>
      <c r="K78" s="17"/>
      <c r="L78" s="17"/>
    </row>
    <row r="79" spans="3:12" x14ac:dyDescent="0.25">
      <c r="C79" s="31">
        <f t="shared" ca="1" si="11"/>
        <v>44.050768208954487</v>
      </c>
      <c r="D79" s="31">
        <f t="shared" ca="1" si="11"/>
        <v>102.37073909916994</v>
      </c>
      <c r="E79" s="32">
        <v>48.535988503350254</v>
      </c>
      <c r="F79" s="32">
        <v>119.27165977685965</v>
      </c>
      <c r="I79" s="17"/>
      <c r="J79" s="17"/>
      <c r="K79" s="17"/>
      <c r="L79" s="17"/>
    </row>
    <row r="80" spans="3:12" x14ac:dyDescent="0.25">
      <c r="C80" s="31">
        <f t="shared" ca="1" si="11"/>
        <v>51.423447099095981</v>
      </c>
      <c r="D80" s="31">
        <f t="shared" ca="1" si="11"/>
        <v>103.0381326486303</v>
      </c>
      <c r="E80" s="32">
        <v>60.891586993055078</v>
      </c>
      <c r="F80" s="32">
        <v>101.7182222605792</v>
      </c>
      <c r="I80" s="17"/>
      <c r="J80" s="17"/>
      <c r="K80" s="17"/>
      <c r="L80" s="17"/>
    </row>
    <row r="81" spans="3:12" x14ac:dyDescent="0.25">
      <c r="C81" s="31">
        <f t="shared" ca="1" si="11"/>
        <v>68.542120683105836</v>
      </c>
      <c r="D81" s="31">
        <f t="shared" ca="1" si="11"/>
        <v>127.65424346933487</v>
      </c>
      <c r="E81" s="32">
        <v>60.35305815033287</v>
      </c>
      <c r="F81" s="32">
        <v>109.24923752563782</v>
      </c>
      <c r="I81" s="17"/>
      <c r="J81" s="17"/>
      <c r="K81" s="17"/>
      <c r="L81" s="17"/>
    </row>
    <row r="82" spans="3:12" x14ac:dyDescent="0.25">
      <c r="C82" s="31">
        <f t="shared" ca="1" si="11"/>
        <v>56.629050791759042</v>
      </c>
      <c r="D82" s="31">
        <f t="shared" ca="1" si="11"/>
        <v>92.624520552560327</v>
      </c>
      <c r="E82" s="32">
        <v>47.753105262920272</v>
      </c>
      <c r="F82" s="32">
        <v>108.93175869114322</v>
      </c>
      <c r="I82" s="17"/>
      <c r="J82" s="17"/>
      <c r="K82" s="17"/>
      <c r="L82" s="17"/>
    </row>
    <row r="83" spans="3:12" x14ac:dyDescent="0.25">
      <c r="C83" s="31">
        <f t="shared" ca="1" si="11"/>
        <v>63.152605030852236</v>
      </c>
      <c r="D83" s="31">
        <f t="shared" ca="1" si="11"/>
        <v>128.51829264434951</v>
      </c>
      <c r="E83" s="32">
        <v>83.55518057893029</v>
      </c>
      <c r="F83" s="32">
        <v>95.0099591321285</v>
      </c>
      <c r="I83" s="17"/>
      <c r="J83" s="17"/>
      <c r="K83" s="17"/>
      <c r="L83" s="17"/>
    </row>
    <row r="84" spans="3:12" x14ac:dyDescent="0.25">
      <c r="C84" s="31">
        <f t="shared" ca="1" si="11"/>
        <v>83.572820668469106</v>
      </c>
      <c r="D84" s="31">
        <f t="shared" ca="1" si="11"/>
        <v>109.33362667163829</v>
      </c>
      <c r="E84" s="32">
        <v>64.800900288341026</v>
      </c>
      <c r="F84" s="32">
        <v>74.252184259123652</v>
      </c>
      <c r="I84" s="17"/>
      <c r="J84" s="17"/>
      <c r="K84" s="17"/>
      <c r="L84" s="17"/>
    </row>
    <row r="85" spans="3:12" x14ac:dyDescent="0.25">
      <c r="C85" s="31">
        <f t="shared" ca="1" si="11"/>
        <v>56.551248318527669</v>
      </c>
      <c r="D85" s="31">
        <f t="shared" ca="1" si="11"/>
        <v>123.01184212730644</v>
      </c>
      <c r="E85" s="32">
        <v>57.042569285326309</v>
      </c>
      <c r="F85" s="32">
        <v>104.33350837154961</v>
      </c>
      <c r="I85" s="17"/>
      <c r="J85" s="17"/>
      <c r="K85" s="17"/>
      <c r="L85" s="17"/>
    </row>
    <row r="86" spans="3:12" x14ac:dyDescent="0.25">
      <c r="C86" s="31">
        <f t="shared" ca="1" si="11"/>
        <v>43.050180261068604</v>
      </c>
      <c r="D86" s="31">
        <f t="shared" ca="1" si="11"/>
        <v>71.052778652022837</v>
      </c>
      <c r="E86" s="32">
        <v>51.202766724390926</v>
      </c>
      <c r="F86" s="32">
        <v>103.50362488565271</v>
      </c>
      <c r="I86" s="17"/>
      <c r="J86" s="17"/>
      <c r="K86" s="17"/>
      <c r="L86" s="17"/>
    </row>
    <row r="87" spans="3:12" x14ac:dyDescent="0.25">
      <c r="C87" s="31">
        <f t="shared" ca="1" si="11"/>
        <v>63.43105831273342</v>
      </c>
      <c r="D87" s="31">
        <f t="shared" ca="1" si="11"/>
        <v>111.26273211123703</v>
      </c>
      <c r="E87" s="32">
        <v>54.88321781512456</v>
      </c>
      <c r="F87" s="32">
        <v>108.05531246884017</v>
      </c>
      <c r="I87" s="17"/>
      <c r="J87" s="17"/>
      <c r="K87" s="17"/>
      <c r="L87" s="17"/>
    </row>
    <row r="88" spans="3:12" x14ac:dyDescent="0.25">
      <c r="C88" s="31">
        <f t="shared" ca="1" si="11"/>
        <v>60.117465444791662</v>
      </c>
      <c r="D88" s="31">
        <f t="shared" ca="1" si="11"/>
        <v>90.348382548947612</v>
      </c>
      <c r="E88" s="32">
        <v>57.275934446582639</v>
      </c>
      <c r="F88" s="32">
        <v>145.10551581880728</v>
      </c>
      <c r="I88" s="17"/>
      <c r="J88" s="17"/>
      <c r="K88" s="17"/>
      <c r="L88" s="17"/>
    </row>
    <row r="89" spans="3:12" x14ac:dyDescent="0.25">
      <c r="C89" s="31">
        <f t="shared" ca="1" si="11"/>
        <v>56.763038031598299</v>
      </c>
      <c r="D89" s="31">
        <f t="shared" ca="1" si="11"/>
        <v>120.55571313366768</v>
      </c>
      <c r="E89" s="32">
        <v>46.600726190830557</v>
      </c>
      <c r="F89" s="32">
        <v>148.92358209466414</v>
      </c>
      <c r="I89" s="17"/>
      <c r="J89" s="17"/>
      <c r="K89" s="17"/>
      <c r="L89" s="17"/>
    </row>
    <row r="90" spans="3:12" x14ac:dyDescent="0.25">
      <c r="C90" s="31">
        <f t="shared" ca="1" si="11"/>
        <v>56.191127259794975</v>
      </c>
      <c r="D90" s="31">
        <f t="shared" ca="1" si="11"/>
        <v>95.601441957980697</v>
      </c>
      <c r="E90" s="32">
        <v>65.956024799447079</v>
      </c>
      <c r="F90" s="32">
        <v>103.1976110578094</v>
      </c>
      <c r="I90" s="17"/>
      <c r="J90" s="17"/>
      <c r="K90" s="17"/>
      <c r="L90" s="17"/>
    </row>
    <row r="91" spans="3:12" x14ac:dyDescent="0.25">
      <c r="C91" s="31">
        <f t="shared" ca="1" si="11"/>
        <v>60.753166714834983</v>
      </c>
      <c r="D91" s="31">
        <f t="shared" ca="1" si="11"/>
        <v>117.68762001039732</v>
      </c>
      <c r="E91" s="32">
        <v>59.617010084534705</v>
      </c>
      <c r="F91" s="32">
        <v>125.17811453240328</v>
      </c>
      <c r="I91" s="17"/>
      <c r="J91" s="17"/>
      <c r="K91" s="17"/>
      <c r="L91" s="17"/>
    </row>
    <row r="92" spans="3:12" x14ac:dyDescent="0.25">
      <c r="C92" s="31">
        <f t="shared" ca="1" si="11"/>
        <v>62.957289287123373</v>
      </c>
      <c r="D92" s="31">
        <f t="shared" ca="1" si="11"/>
        <v>139.12991955737641</v>
      </c>
      <c r="E92" s="32">
        <v>46.75534421408689</v>
      </c>
      <c r="F92" s="32">
        <v>115.65841326492919</v>
      </c>
      <c r="I92" s="17"/>
      <c r="J92" s="17"/>
      <c r="K92" s="17"/>
      <c r="L92" s="17"/>
    </row>
    <row r="93" spans="3:12" x14ac:dyDescent="0.25">
      <c r="C93" s="31">
        <f t="shared" ca="1" si="11"/>
        <v>49.130156687480238</v>
      </c>
      <c r="D93" s="31">
        <f t="shared" ca="1" si="11"/>
        <v>102.55645581863472</v>
      </c>
      <c r="E93" s="32">
        <v>62.842223711554055</v>
      </c>
      <c r="F93" s="32">
        <v>93.257305446284604</v>
      </c>
      <c r="I93" s="17"/>
      <c r="J93" s="17"/>
      <c r="K93" s="17"/>
      <c r="L93" s="17"/>
    </row>
    <row r="94" spans="3:12" x14ac:dyDescent="0.25">
      <c r="C94" s="31">
        <f t="shared" ref="C94:D113" ca="1" si="12">_xlfn.NORM.INV(RAND(),C$4,C$5)</f>
        <v>66.853990062317791</v>
      </c>
      <c r="D94" s="31">
        <f t="shared" ca="1" si="12"/>
        <v>98.048506928694366</v>
      </c>
      <c r="E94" s="32">
        <v>68.578083496243224</v>
      </c>
      <c r="F94" s="32">
        <v>113.93650246099541</v>
      </c>
      <c r="I94" s="17"/>
      <c r="J94" s="17"/>
      <c r="K94" s="17"/>
      <c r="L94" s="17"/>
    </row>
    <row r="95" spans="3:12" x14ac:dyDescent="0.25">
      <c r="C95" s="31">
        <f t="shared" ca="1" si="12"/>
        <v>52.608269977029472</v>
      </c>
      <c r="D95" s="31">
        <f t="shared" ca="1" si="12"/>
        <v>83.087868435776343</v>
      </c>
      <c r="E95" s="32">
        <v>54.676176702239857</v>
      </c>
      <c r="F95" s="32">
        <v>107.31122034594161</v>
      </c>
      <c r="I95" s="17"/>
      <c r="J95" s="17"/>
      <c r="K95" s="17"/>
      <c r="L95" s="17"/>
    </row>
    <row r="96" spans="3:12" x14ac:dyDescent="0.25">
      <c r="C96" s="31">
        <f t="shared" ca="1" si="12"/>
        <v>57.294374233670347</v>
      </c>
      <c r="D96" s="31">
        <f t="shared" ca="1" si="12"/>
        <v>134.67954358802234</v>
      </c>
      <c r="E96" s="32">
        <v>52.269354239167171</v>
      </c>
      <c r="F96" s="32">
        <v>97.523146128592217</v>
      </c>
      <c r="I96" s="17"/>
      <c r="J96" s="17"/>
      <c r="K96" s="17"/>
      <c r="L96" s="17"/>
    </row>
    <row r="97" spans="3:12" x14ac:dyDescent="0.25">
      <c r="C97" s="31">
        <f t="shared" ca="1" si="12"/>
        <v>58.95002676118002</v>
      </c>
      <c r="D97" s="31">
        <f t="shared" ca="1" si="12"/>
        <v>98.500152833540668</v>
      </c>
      <c r="E97" s="32">
        <v>55.252739576387285</v>
      </c>
      <c r="F97" s="32">
        <v>102.12726539165155</v>
      </c>
      <c r="I97" s="17"/>
      <c r="J97" s="17"/>
      <c r="K97" s="17"/>
      <c r="L97" s="17"/>
    </row>
    <row r="98" spans="3:12" x14ac:dyDescent="0.25">
      <c r="C98" s="31">
        <f t="shared" ca="1" si="12"/>
        <v>62.773938008966212</v>
      </c>
      <c r="D98" s="31">
        <f t="shared" ca="1" si="12"/>
        <v>146.21219703603097</v>
      </c>
      <c r="E98" s="32">
        <v>55.276596410632756</v>
      </c>
      <c r="F98" s="32">
        <v>112.41289634604702</v>
      </c>
      <c r="I98" s="17"/>
      <c r="J98" s="17"/>
      <c r="K98" s="17"/>
      <c r="L98" s="17"/>
    </row>
    <row r="99" spans="3:12" x14ac:dyDescent="0.25">
      <c r="C99" s="31">
        <f t="shared" ca="1" si="12"/>
        <v>56.871008780439226</v>
      </c>
      <c r="D99" s="31">
        <f t="shared" ca="1" si="12"/>
        <v>165.21774588032784</v>
      </c>
      <c r="E99" s="32">
        <v>55.910185317218485</v>
      </c>
      <c r="F99" s="32">
        <v>113.74678292032054</v>
      </c>
      <c r="I99" s="17"/>
      <c r="J99" s="17"/>
      <c r="K99" s="17"/>
      <c r="L99" s="17"/>
    </row>
    <row r="100" spans="3:12" x14ac:dyDescent="0.25">
      <c r="C100" s="31">
        <f t="shared" ca="1" si="12"/>
        <v>62.424577309051472</v>
      </c>
      <c r="D100" s="31">
        <f t="shared" ca="1" si="12"/>
        <v>124.98201764503216</v>
      </c>
      <c r="E100" s="32">
        <v>67.071595328850009</v>
      </c>
      <c r="F100" s="32">
        <v>102.98458218090263</v>
      </c>
      <c r="I100" s="17"/>
      <c r="J100" s="17"/>
      <c r="K100" s="17"/>
      <c r="L100" s="17"/>
    </row>
    <row r="101" spans="3:12" x14ac:dyDescent="0.25">
      <c r="C101" s="31">
        <f t="shared" ca="1" si="12"/>
        <v>63.361291038240566</v>
      </c>
      <c r="D101" s="31">
        <f t="shared" ca="1" si="12"/>
        <v>142.90439566528616</v>
      </c>
      <c r="E101" s="32">
        <v>56.890486404076988</v>
      </c>
      <c r="F101" s="32">
        <v>117.04095278804984</v>
      </c>
      <c r="I101" s="17"/>
      <c r="J101" s="17"/>
      <c r="K101" s="17"/>
      <c r="L101" s="17"/>
    </row>
    <row r="102" spans="3:12" x14ac:dyDescent="0.25">
      <c r="C102" s="31">
        <f t="shared" ca="1" si="12"/>
        <v>54.082514113481594</v>
      </c>
      <c r="D102" s="31">
        <f t="shared" ca="1" si="12"/>
        <v>105.54889832279096</v>
      </c>
      <c r="E102" s="32">
        <v>52.835082534558552</v>
      </c>
      <c r="F102" s="32">
        <v>120.1244401766881</v>
      </c>
      <c r="I102" s="17"/>
      <c r="J102" s="17"/>
      <c r="K102" s="17"/>
      <c r="L102" s="17"/>
    </row>
    <row r="103" spans="3:12" x14ac:dyDescent="0.25">
      <c r="C103" s="31">
        <f t="shared" ca="1" si="12"/>
        <v>75.274905687746539</v>
      </c>
      <c r="D103" s="31">
        <f t="shared" ca="1" si="12"/>
        <v>132.78576284748584</v>
      </c>
      <c r="E103" s="32">
        <v>68.58611471101058</v>
      </c>
      <c r="F103" s="32">
        <v>111.57575883934967</v>
      </c>
      <c r="I103" s="17"/>
      <c r="J103" s="17"/>
      <c r="K103" s="17"/>
      <c r="L103" s="17"/>
    </row>
    <row r="104" spans="3:12" x14ac:dyDescent="0.25">
      <c r="C104" s="31">
        <f t="shared" ca="1" si="12"/>
        <v>54.619523173831709</v>
      </c>
      <c r="D104" s="31">
        <f t="shared" ca="1" si="12"/>
        <v>104.17919781841756</v>
      </c>
      <c r="E104" s="32">
        <v>60.270018026504694</v>
      </c>
      <c r="F104" s="32">
        <v>129.36416630968586</v>
      </c>
      <c r="I104" s="17"/>
      <c r="J104" s="17"/>
      <c r="K104" s="17"/>
      <c r="L104" s="17"/>
    </row>
    <row r="105" spans="3:12" x14ac:dyDescent="0.25">
      <c r="C105" s="31">
        <f t="shared" ca="1" si="12"/>
        <v>75.298891150751587</v>
      </c>
      <c r="D105" s="31">
        <f t="shared" ca="1" si="12"/>
        <v>126.35814733212185</v>
      </c>
      <c r="E105" s="32">
        <v>59.876245178420547</v>
      </c>
      <c r="F105" s="32">
        <v>69.251280025687862</v>
      </c>
      <c r="I105" s="17"/>
      <c r="J105" s="17"/>
      <c r="K105" s="17"/>
      <c r="L105" s="17"/>
    </row>
    <row r="106" spans="3:12" x14ac:dyDescent="0.25">
      <c r="C106" s="31">
        <f t="shared" ca="1" si="12"/>
        <v>80.01054097283297</v>
      </c>
      <c r="D106" s="31">
        <f t="shared" ca="1" si="12"/>
        <v>119.81278405310633</v>
      </c>
      <c r="E106" s="32">
        <v>54.568602751240192</v>
      </c>
      <c r="F106" s="32">
        <v>118.61003525334756</v>
      </c>
      <c r="I106" s="17"/>
      <c r="J106" s="17"/>
      <c r="K106" s="17"/>
      <c r="L106" s="17"/>
    </row>
    <row r="107" spans="3:12" x14ac:dyDescent="0.25">
      <c r="C107" s="31">
        <f t="shared" ca="1" si="12"/>
        <v>50.632275689112248</v>
      </c>
      <c r="D107" s="31">
        <f t="shared" ca="1" si="12"/>
        <v>118.2733019043869</v>
      </c>
      <c r="E107" s="32">
        <v>69.661745774285095</v>
      </c>
      <c r="F107" s="32">
        <v>111.30670267798182</v>
      </c>
      <c r="I107" s="17"/>
      <c r="J107" s="17"/>
      <c r="K107" s="17"/>
      <c r="L107" s="17"/>
    </row>
    <row r="108" spans="3:12" x14ac:dyDescent="0.25">
      <c r="C108" s="31">
        <f t="shared" ca="1" si="12"/>
        <v>56.327631051550533</v>
      </c>
      <c r="D108" s="31">
        <f t="shared" ca="1" si="12"/>
        <v>117.24118074426147</v>
      </c>
      <c r="E108" s="32">
        <v>53.974793428943784</v>
      </c>
      <c r="F108" s="32">
        <v>97.610096004482159</v>
      </c>
      <c r="I108" s="17"/>
      <c r="J108" s="17"/>
      <c r="K108" s="17"/>
      <c r="L108" s="17"/>
    </row>
    <row r="109" spans="3:12" x14ac:dyDescent="0.25">
      <c r="C109" s="31">
        <f t="shared" ca="1" si="12"/>
        <v>39.508905626166381</v>
      </c>
      <c r="D109" s="31">
        <f t="shared" ca="1" si="12"/>
        <v>105.91914673987418</v>
      </c>
      <c r="E109" s="32">
        <v>48.442243015521633</v>
      </c>
      <c r="F109" s="32">
        <v>88.386837013699207</v>
      </c>
      <c r="I109" s="17"/>
      <c r="J109" s="17"/>
      <c r="K109" s="17"/>
      <c r="L109" s="17"/>
    </row>
    <row r="110" spans="3:12" x14ac:dyDescent="0.25">
      <c r="C110" s="31">
        <f t="shared" ca="1" si="12"/>
        <v>50.017389061626027</v>
      </c>
      <c r="D110" s="31">
        <f t="shared" ca="1" si="12"/>
        <v>74.85028528593665</v>
      </c>
      <c r="E110" s="32">
        <v>63.116304908434458</v>
      </c>
      <c r="F110" s="32">
        <v>104.61547489822539</v>
      </c>
      <c r="I110" s="17"/>
      <c r="J110" s="17"/>
      <c r="K110" s="17"/>
      <c r="L110" s="17"/>
    </row>
    <row r="111" spans="3:12" x14ac:dyDescent="0.25">
      <c r="C111" s="31">
        <f t="shared" ca="1" si="12"/>
        <v>60.723020028620269</v>
      </c>
      <c r="D111" s="31">
        <f t="shared" ca="1" si="12"/>
        <v>121.12681413972592</v>
      </c>
      <c r="E111" s="32">
        <v>65.094098207523501</v>
      </c>
      <c r="F111" s="32">
        <v>104.56427302505733</v>
      </c>
      <c r="I111" s="17"/>
      <c r="J111" s="17"/>
      <c r="K111" s="17"/>
      <c r="L111" s="17"/>
    </row>
    <row r="112" spans="3:12" x14ac:dyDescent="0.25">
      <c r="C112" s="31">
        <f t="shared" ca="1" si="12"/>
        <v>63.949270665443144</v>
      </c>
      <c r="D112" s="31">
        <f t="shared" ca="1" si="12"/>
        <v>116.81025542338347</v>
      </c>
      <c r="E112" s="32">
        <v>66.551170648853656</v>
      </c>
      <c r="F112" s="32">
        <v>128.30974661629193</v>
      </c>
      <c r="I112" s="17"/>
      <c r="J112" s="17"/>
      <c r="K112" s="17"/>
      <c r="L112" s="17"/>
    </row>
    <row r="113" spans="3:12" x14ac:dyDescent="0.25">
      <c r="C113" s="31">
        <f t="shared" ca="1" si="12"/>
        <v>46.872211957504859</v>
      </c>
      <c r="D113" s="31">
        <f t="shared" ca="1" si="12"/>
        <v>92.63484503094358</v>
      </c>
      <c r="E113" s="32">
        <v>59.481254757788889</v>
      </c>
      <c r="F113" s="32">
        <v>172.40277642723606</v>
      </c>
      <c r="I113" s="17"/>
      <c r="J113" s="17"/>
      <c r="K113" s="17"/>
      <c r="L113" s="17"/>
    </row>
    <row r="114" spans="3:12" x14ac:dyDescent="0.25">
      <c r="C114" s="31">
        <f t="shared" ref="C114:D133" ca="1" si="13">_xlfn.NORM.INV(RAND(),C$4,C$5)</f>
        <v>55.773183161725449</v>
      </c>
      <c r="D114" s="31">
        <f t="shared" ca="1" si="13"/>
        <v>142.83141513602436</v>
      </c>
      <c r="E114" s="32">
        <v>64.852268278302944</v>
      </c>
      <c r="F114" s="32">
        <v>119.29324728622109</v>
      </c>
      <c r="I114" s="17"/>
      <c r="J114" s="17"/>
      <c r="K114" s="17"/>
      <c r="L114" s="17"/>
    </row>
    <row r="115" spans="3:12" x14ac:dyDescent="0.25">
      <c r="C115" s="31">
        <f t="shared" ca="1" si="13"/>
        <v>59.219136987902488</v>
      </c>
      <c r="D115" s="31">
        <f t="shared" ca="1" si="13"/>
        <v>121.20392210822763</v>
      </c>
      <c r="E115" s="32">
        <v>79.366523782032075</v>
      </c>
      <c r="F115" s="32">
        <v>110.59535686848301</v>
      </c>
      <c r="I115" s="17"/>
      <c r="J115" s="17"/>
      <c r="K115" s="17"/>
      <c r="L115" s="17"/>
    </row>
    <row r="116" spans="3:12" x14ac:dyDescent="0.25">
      <c r="C116" s="31">
        <f t="shared" ca="1" si="13"/>
        <v>64.387656532066543</v>
      </c>
      <c r="D116" s="31">
        <f t="shared" ca="1" si="13"/>
        <v>155.20008652075782</v>
      </c>
      <c r="E116" s="32">
        <v>72.630810282107902</v>
      </c>
      <c r="F116" s="32">
        <v>116.19856079959477</v>
      </c>
      <c r="I116" s="17"/>
      <c r="J116" s="17"/>
      <c r="K116" s="17"/>
      <c r="L116" s="17"/>
    </row>
    <row r="117" spans="3:12" x14ac:dyDescent="0.25">
      <c r="C117" s="31">
        <f t="shared" ca="1" si="13"/>
        <v>69.487757503647387</v>
      </c>
      <c r="D117" s="31">
        <f t="shared" ca="1" si="13"/>
        <v>144.31223926066733</v>
      </c>
      <c r="E117" s="32">
        <v>68.699827485486423</v>
      </c>
      <c r="F117" s="32">
        <v>101.87985585126653</v>
      </c>
      <c r="I117" s="17"/>
      <c r="J117" s="17"/>
      <c r="K117" s="17"/>
      <c r="L117" s="17"/>
    </row>
    <row r="118" spans="3:12" x14ac:dyDescent="0.25">
      <c r="C118" s="31">
        <f t="shared" ca="1" si="13"/>
        <v>66.8715199087912</v>
      </c>
      <c r="D118" s="31">
        <f t="shared" ca="1" si="13"/>
        <v>114.25475538129037</v>
      </c>
      <c r="E118" s="32">
        <v>60.154599723768861</v>
      </c>
      <c r="F118" s="32">
        <v>101.40971472514698</v>
      </c>
      <c r="I118" s="17"/>
      <c r="J118" s="17"/>
      <c r="K118" s="17"/>
      <c r="L118" s="17"/>
    </row>
    <row r="119" spans="3:12" x14ac:dyDescent="0.25">
      <c r="C119" s="31">
        <f t="shared" ca="1" si="13"/>
        <v>56.862634240067678</v>
      </c>
      <c r="D119" s="31">
        <f t="shared" ca="1" si="13"/>
        <v>119.0638282526938</v>
      </c>
      <c r="E119" s="32">
        <v>57.291794860987302</v>
      </c>
      <c r="F119" s="32">
        <v>127.32182460587262</v>
      </c>
      <c r="I119" s="17"/>
      <c r="J119" s="17"/>
      <c r="K119" s="17"/>
      <c r="L119" s="17"/>
    </row>
    <row r="120" spans="3:12" x14ac:dyDescent="0.25">
      <c r="C120" s="31">
        <f t="shared" ca="1" si="13"/>
        <v>49.958280688475249</v>
      </c>
      <c r="D120" s="31">
        <f t="shared" ca="1" si="13"/>
        <v>120.89293901809579</v>
      </c>
      <c r="E120" s="32">
        <v>71.128799512843329</v>
      </c>
      <c r="F120" s="32">
        <v>91.125992120186979</v>
      </c>
      <c r="I120" s="17"/>
      <c r="J120" s="17"/>
      <c r="K120" s="17"/>
      <c r="L120" s="17"/>
    </row>
    <row r="121" spans="3:12" x14ac:dyDescent="0.25">
      <c r="C121" s="31">
        <f t="shared" ca="1" si="13"/>
        <v>39.646270005827184</v>
      </c>
      <c r="D121" s="31">
        <f t="shared" ca="1" si="13"/>
        <v>104.0754099980249</v>
      </c>
      <c r="E121" s="32">
        <v>60.497483951987967</v>
      </c>
      <c r="F121" s="32">
        <v>101.32326561030057</v>
      </c>
      <c r="I121" s="17"/>
      <c r="J121" s="17"/>
      <c r="K121" s="17"/>
      <c r="L121" s="17"/>
    </row>
    <row r="122" spans="3:12" x14ac:dyDescent="0.25">
      <c r="C122" s="31">
        <f t="shared" ca="1" si="13"/>
        <v>51.461455884865046</v>
      </c>
      <c r="D122" s="31">
        <f t="shared" ca="1" si="13"/>
        <v>111.5024812126734</v>
      </c>
      <c r="E122" s="32">
        <v>51.041066648143712</v>
      </c>
      <c r="F122" s="32">
        <v>128.98529767623967</v>
      </c>
      <c r="I122" s="17"/>
      <c r="J122" s="17"/>
      <c r="K122" s="17"/>
      <c r="L122" s="17"/>
    </row>
    <row r="123" spans="3:12" x14ac:dyDescent="0.25">
      <c r="C123" s="31">
        <f t="shared" ca="1" si="13"/>
        <v>59.02582972058191</v>
      </c>
      <c r="D123" s="31">
        <f t="shared" ca="1" si="13"/>
        <v>79.375195359579706</v>
      </c>
      <c r="E123" s="32">
        <v>67.78338356968429</v>
      </c>
      <c r="F123" s="32">
        <v>86.891977251294165</v>
      </c>
      <c r="I123" s="17"/>
      <c r="J123" s="17"/>
      <c r="K123" s="17"/>
      <c r="L123" s="17"/>
    </row>
    <row r="124" spans="3:12" x14ac:dyDescent="0.25">
      <c r="C124" s="31">
        <f t="shared" ca="1" si="13"/>
        <v>63.120213072170955</v>
      </c>
      <c r="D124" s="31">
        <f t="shared" ca="1" si="13"/>
        <v>98.657265502707219</v>
      </c>
      <c r="E124" s="32">
        <v>53.814825940431263</v>
      </c>
      <c r="F124" s="32">
        <v>96.010268968828655</v>
      </c>
      <c r="I124" s="17"/>
      <c r="J124" s="17"/>
      <c r="K124" s="17"/>
      <c r="L124" s="17"/>
    </row>
    <row r="125" spans="3:12" x14ac:dyDescent="0.25">
      <c r="C125" s="31">
        <f t="shared" ca="1" si="13"/>
        <v>60.73259824001434</v>
      </c>
      <c r="D125" s="31">
        <f t="shared" ca="1" si="13"/>
        <v>119.11878437461625</v>
      </c>
      <c r="E125" s="32">
        <v>53.547313290233944</v>
      </c>
      <c r="F125" s="32">
        <v>72.160171883154916</v>
      </c>
      <c r="I125" s="17"/>
      <c r="J125" s="17"/>
      <c r="K125" s="17"/>
      <c r="L125" s="17"/>
    </row>
    <row r="126" spans="3:12" x14ac:dyDescent="0.25">
      <c r="C126" s="31">
        <f t="shared" ca="1" si="13"/>
        <v>56.159397533574534</v>
      </c>
      <c r="D126" s="31">
        <f t="shared" ca="1" si="13"/>
        <v>119.66247940536648</v>
      </c>
      <c r="E126" s="32">
        <v>40.459450465368491</v>
      </c>
      <c r="F126" s="32">
        <v>111.65950918213871</v>
      </c>
      <c r="I126" s="17"/>
      <c r="J126" s="17"/>
      <c r="K126" s="17"/>
      <c r="L126" s="17"/>
    </row>
    <row r="127" spans="3:12" x14ac:dyDescent="0.25">
      <c r="C127" s="31">
        <f t="shared" ca="1" si="13"/>
        <v>74.260397668783668</v>
      </c>
      <c r="D127" s="31">
        <f t="shared" ca="1" si="13"/>
        <v>127.64891823088493</v>
      </c>
      <c r="E127" s="32">
        <v>45.722465403382145</v>
      </c>
      <c r="F127" s="32">
        <v>118.54903830352043</v>
      </c>
      <c r="I127" s="17"/>
      <c r="J127" s="17"/>
      <c r="K127" s="17"/>
      <c r="L127" s="17"/>
    </row>
    <row r="128" spans="3:12" x14ac:dyDescent="0.25">
      <c r="C128" s="31">
        <f t="shared" ca="1" si="13"/>
        <v>56.294369074872947</v>
      </c>
      <c r="D128" s="31">
        <f t="shared" ca="1" si="13"/>
        <v>109.55725046512505</v>
      </c>
      <c r="E128" s="32">
        <v>65.269470056983295</v>
      </c>
      <c r="F128" s="32">
        <v>114.79425921333859</v>
      </c>
      <c r="I128" s="17"/>
      <c r="J128" s="17"/>
      <c r="K128" s="17"/>
      <c r="L128" s="17"/>
    </row>
    <row r="129" spans="3:12" x14ac:dyDescent="0.25">
      <c r="C129" s="31">
        <f t="shared" ca="1" si="13"/>
        <v>74.209824730663627</v>
      </c>
      <c r="D129" s="31">
        <f t="shared" ca="1" si="13"/>
        <v>136.42066309883884</v>
      </c>
      <c r="E129" s="32">
        <v>59.808979669127304</v>
      </c>
      <c r="F129" s="32">
        <v>102.60730221569021</v>
      </c>
      <c r="I129" s="17"/>
      <c r="J129" s="17"/>
      <c r="K129" s="17"/>
      <c r="L129" s="17"/>
    </row>
    <row r="130" spans="3:12" x14ac:dyDescent="0.25">
      <c r="C130" s="31">
        <f t="shared" ca="1" si="13"/>
        <v>51.736925414064679</v>
      </c>
      <c r="D130" s="31">
        <f t="shared" ca="1" si="13"/>
        <v>131.96791341692199</v>
      </c>
      <c r="E130" s="32">
        <v>63.480417761682261</v>
      </c>
      <c r="F130" s="32">
        <v>125.58026061532992</v>
      </c>
      <c r="I130" s="17"/>
      <c r="J130" s="17"/>
      <c r="K130" s="17"/>
      <c r="L130" s="17"/>
    </row>
    <row r="131" spans="3:12" x14ac:dyDescent="0.25">
      <c r="C131" s="31">
        <f t="shared" ca="1" si="13"/>
        <v>41.84937529053947</v>
      </c>
      <c r="D131" s="31">
        <f t="shared" ca="1" si="13"/>
        <v>92.695672997789487</v>
      </c>
      <c r="E131" s="32">
        <v>65.635064231203486</v>
      </c>
      <c r="F131" s="32">
        <v>122.79538632866944</v>
      </c>
      <c r="I131" s="17"/>
      <c r="J131" s="17"/>
      <c r="K131" s="17"/>
      <c r="L131" s="17"/>
    </row>
    <row r="132" spans="3:12" x14ac:dyDescent="0.25">
      <c r="C132" s="31">
        <f t="shared" ca="1" si="13"/>
        <v>67.683921633332773</v>
      </c>
      <c r="D132" s="31">
        <f t="shared" ca="1" si="13"/>
        <v>129.75411367701687</v>
      </c>
      <c r="E132" s="32">
        <v>54.209269810151014</v>
      </c>
      <c r="F132" s="32">
        <v>82.971821664187459</v>
      </c>
      <c r="I132" s="17"/>
      <c r="J132" s="17"/>
      <c r="K132" s="17"/>
      <c r="L132" s="17"/>
    </row>
    <row r="133" spans="3:12" x14ac:dyDescent="0.25">
      <c r="C133" s="31">
        <f t="shared" ca="1" si="13"/>
        <v>36.777977863200299</v>
      </c>
      <c r="D133" s="31">
        <f t="shared" ca="1" si="13"/>
        <v>142.49770614937185</v>
      </c>
      <c r="E133" s="32">
        <v>57.188647314722253</v>
      </c>
      <c r="F133" s="32">
        <v>114.45344557490668</v>
      </c>
      <c r="I133" s="17"/>
      <c r="J133" s="17"/>
      <c r="K133" s="17"/>
      <c r="L133" s="17"/>
    </row>
    <row r="134" spans="3:12" x14ac:dyDescent="0.25">
      <c r="C134" s="31">
        <f t="shared" ref="C134:D153" ca="1" si="14">_xlfn.NORM.INV(RAND(),C$4,C$5)</f>
        <v>62.098568477011753</v>
      </c>
      <c r="D134" s="31">
        <f t="shared" ca="1" si="14"/>
        <v>77.879113396407433</v>
      </c>
      <c r="E134" s="32">
        <v>53.752463383672406</v>
      </c>
      <c r="F134" s="32">
        <v>113.90386164474825</v>
      </c>
      <c r="I134" s="17"/>
      <c r="J134" s="17"/>
      <c r="K134" s="17"/>
      <c r="L134" s="17"/>
    </row>
    <row r="135" spans="3:12" x14ac:dyDescent="0.25">
      <c r="C135" s="31">
        <f t="shared" ca="1" si="14"/>
        <v>70.409207839604122</v>
      </c>
      <c r="D135" s="31">
        <f t="shared" ca="1" si="14"/>
        <v>122.53234219165392</v>
      </c>
      <c r="E135" s="32">
        <v>74.362469822748182</v>
      </c>
      <c r="F135" s="32">
        <v>108.43035521540887</v>
      </c>
      <c r="I135" s="17"/>
      <c r="J135" s="17"/>
      <c r="K135" s="17"/>
      <c r="L135" s="17"/>
    </row>
    <row r="136" spans="3:12" x14ac:dyDescent="0.25">
      <c r="C136" s="31">
        <f t="shared" ca="1" si="14"/>
        <v>70.536738665187897</v>
      </c>
      <c r="D136" s="31">
        <f t="shared" ca="1" si="14"/>
        <v>132.74716178901127</v>
      </c>
      <c r="E136" s="32">
        <v>65.210331501488781</v>
      </c>
      <c r="F136" s="32">
        <v>131.74675864743509</v>
      </c>
      <c r="I136" s="17"/>
      <c r="J136" s="17"/>
      <c r="K136" s="17"/>
      <c r="L136" s="17"/>
    </row>
    <row r="137" spans="3:12" x14ac:dyDescent="0.25">
      <c r="C137" s="31">
        <f t="shared" ca="1" si="14"/>
        <v>63.097156062800977</v>
      </c>
      <c r="D137" s="31">
        <f t="shared" ca="1" si="14"/>
        <v>98.09469005267502</v>
      </c>
      <c r="E137" s="32">
        <v>67.298424916192772</v>
      </c>
      <c r="F137" s="32">
        <v>100.1096506583863</v>
      </c>
      <c r="I137" s="17"/>
      <c r="J137" s="17"/>
      <c r="K137" s="17"/>
      <c r="L137" s="17"/>
    </row>
    <row r="138" spans="3:12" x14ac:dyDescent="0.25">
      <c r="C138" s="31">
        <f t="shared" ca="1" si="14"/>
        <v>71.936412176182571</v>
      </c>
      <c r="D138" s="31">
        <f t="shared" ca="1" si="14"/>
        <v>126.45174148633329</v>
      </c>
      <c r="E138" s="32">
        <v>67.41431868227221</v>
      </c>
      <c r="F138" s="32">
        <v>136.05728843170033</v>
      </c>
      <c r="I138" s="17"/>
      <c r="J138" s="17"/>
      <c r="K138" s="17"/>
      <c r="L138" s="17"/>
    </row>
    <row r="139" spans="3:12" x14ac:dyDescent="0.25">
      <c r="C139" s="31">
        <f t="shared" ca="1" si="14"/>
        <v>70.065434544806223</v>
      </c>
      <c r="D139" s="31">
        <f t="shared" ca="1" si="14"/>
        <v>124.0390249943659</v>
      </c>
      <c r="E139" s="32">
        <v>60.170544914255963</v>
      </c>
      <c r="F139" s="32">
        <v>98.530788639988174</v>
      </c>
      <c r="I139" s="17"/>
      <c r="J139" s="17"/>
      <c r="K139" s="17"/>
      <c r="L139" s="17"/>
    </row>
    <row r="140" spans="3:12" x14ac:dyDescent="0.25">
      <c r="C140" s="31">
        <f t="shared" ca="1" si="14"/>
        <v>65.109244323586438</v>
      </c>
      <c r="D140" s="31">
        <f t="shared" ca="1" si="14"/>
        <v>146.20436283664964</v>
      </c>
      <c r="E140" s="32">
        <v>76.735598227377324</v>
      </c>
      <c r="F140" s="32">
        <v>87.483491666083836</v>
      </c>
      <c r="I140" s="17"/>
      <c r="J140" s="17"/>
      <c r="K140" s="17"/>
      <c r="L140" s="17"/>
    </row>
    <row r="141" spans="3:12" x14ac:dyDescent="0.25">
      <c r="C141" s="31">
        <f t="shared" ca="1" si="14"/>
        <v>58.194887882590699</v>
      </c>
      <c r="D141" s="31">
        <f t="shared" ca="1" si="14"/>
        <v>121.97372017241229</v>
      </c>
      <c r="E141" s="32">
        <v>68.238208912157674</v>
      </c>
      <c r="F141" s="32">
        <v>106.5781197763577</v>
      </c>
      <c r="I141" s="17"/>
      <c r="J141" s="17"/>
      <c r="K141" s="17"/>
      <c r="L141" s="17"/>
    </row>
    <row r="142" spans="3:12" x14ac:dyDescent="0.25">
      <c r="C142" s="31">
        <f t="shared" ca="1" si="14"/>
        <v>53.956212113314876</v>
      </c>
      <c r="D142" s="31">
        <f t="shared" ca="1" si="14"/>
        <v>110.03463741060928</v>
      </c>
      <c r="E142" s="32">
        <v>75.936598348447802</v>
      </c>
      <c r="F142" s="32">
        <v>117.30204705437983</v>
      </c>
      <c r="I142" s="17"/>
      <c r="J142" s="17"/>
      <c r="K142" s="17"/>
      <c r="L142" s="17"/>
    </row>
    <row r="143" spans="3:12" x14ac:dyDescent="0.25">
      <c r="C143" s="31">
        <f t="shared" ca="1" si="14"/>
        <v>54.782830040698485</v>
      </c>
      <c r="D143" s="31">
        <f t="shared" ca="1" si="14"/>
        <v>85.418183340484816</v>
      </c>
      <c r="E143" s="32">
        <v>56.339817975459631</v>
      </c>
      <c r="F143" s="32">
        <v>140.13570717444449</v>
      </c>
      <c r="I143" s="17"/>
      <c r="J143" s="17"/>
      <c r="K143" s="17"/>
      <c r="L143" s="17"/>
    </row>
    <row r="144" spans="3:12" x14ac:dyDescent="0.25">
      <c r="C144" s="31">
        <f t="shared" ca="1" si="14"/>
        <v>56.212766406052317</v>
      </c>
      <c r="D144" s="31">
        <f t="shared" ca="1" si="14"/>
        <v>140.27720088014274</v>
      </c>
      <c r="E144" s="32">
        <v>59.668560007029107</v>
      </c>
      <c r="F144" s="32">
        <v>97.885782680254295</v>
      </c>
      <c r="I144" s="17"/>
      <c r="J144" s="17"/>
      <c r="K144" s="17"/>
      <c r="L144" s="17"/>
    </row>
    <row r="145" spans="3:12" x14ac:dyDescent="0.25">
      <c r="C145" s="31">
        <f t="shared" ca="1" si="14"/>
        <v>54.525114695176427</v>
      </c>
      <c r="D145" s="31">
        <f t="shared" ca="1" si="14"/>
        <v>113.2709248294037</v>
      </c>
      <c r="E145" s="32">
        <v>53.745658538902916</v>
      </c>
      <c r="F145" s="32">
        <v>124.148960713546</v>
      </c>
      <c r="I145" s="17"/>
      <c r="J145" s="17"/>
      <c r="K145" s="17"/>
      <c r="L145" s="17"/>
    </row>
    <row r="146" spans="3:12" x14ac:dyDescent="0.25">
      <c r="C146" s="31">
        <f t="shared" ca="1" si="14"/>
        <v>73.33440843505285</v>
      </c>
      <c r="D146" s="31">
        <f t="shared" ca="1" si="14"/>
        <v>97.494660912229136</v>
      </c>
      <c r="E146" s="32">
        <v>52.878444900474975</v>
      </c>
      <c r="F146" s="32">
        <v>125.96328767762964</v>
      </c>
      <c r="I146" s="17"/>
      <c r="J146" s="17"/>
      <c r="K146" s="17"/>
      <c r="L146" s="17"/>
    </row>
    <row r="147" spans="3:12" x14ac:dyDescent="0.25">
      <c r="C147" s="31">
        <f t="shared" ca="1" si="14"/>
        <v>60.673549145241466</v>
      </c>
      <c r="D147" s="31">
        <f t="shared" ca="1" si="14"/>
        <v>116.97624657760105</v>
      </c>
      <c r="E147" s="32">
        <v>51.191648878453321</v>
      </c>
      <c r="F147" s="32">
        <v>116.07307699822411</v>
      </c>
      <c r="I147" s="17"/>
      <c r="J147" s="17"/>
      <c r="K147" s="17"/>
      <c r="L147" s="17"/>
    </row>
    <row r="148" spans="3:12" x14ac:dyDescent="0.25">
      <c r="C148" s="31">
        <f t="shared" ca="1" si="14"/>
        <v>44.636135516414519</v>
      </c>
      <c r="D148" s="31">
        <f t="shared" ca="1" si="14"/>
        <v>143.04560783873441</v>
      </c>
      <c r="E148" s="32">
        <v>61.300309400501192</v>
      </c>
      <c r="F148" s="32">
        <v>98.525325733040276</v>
      </c>
      <c r="I148" s="17"/>
      <c r="J148" s="17"/>
      <c r="K148" s="17"/>
      <c r="L148" s="17"/>
    </row>
    <row r="149" spans="3:12" x14ac:dyDescent="0.25">
      <c r="C149" s="31">
        <f t="shared" ca="1" si="14"/>
        <v>53.228261656501033</v>
      </c>
      <c r="D149" s="31">
        <f t="shared" ca="1" si="14"/>
        <v>78.540038103812634</v>
      </c>
      <c r="E149" s="32">
        <v>74.44280805764032</v>
      </c>
      <c r="F149" s="32">
        <v>115.40125874151705</v>
      </c>
      <c r="I149" s="17"/>
      <c r="J149" s="17"/>
      <c r="K149" s="17"/>
      <c r="L149" s="17"/>
    </row>
    <row r="150" spans="3:12" x14ac:dyDescent="0.25">
      <c r="C150" s="31">
        <f t="shared" ca="1" si="14"/>
        <v>75.252769131420209</v>
      </c>
      <c r="D150" s="31">
        <f t="shared" ca="1" si="14"/>
        <v>133.48943317902621</v>
      </c>
      <c r="E150" s="32">
        <v>60.443127825524385</v>
      </c>
      <c r="F150" s="32">
        <v>125.69261403130992</v>
      </c>
      <c r="I150" s="17"/>
      <c r="J150" s="17"/>
      <c r="K150" s="17"/>
      <c r="L150" s="17"/>
    </row>
    <row r="151" spans="3:12" x14ac:dyDescent="0.25">
      <c r="C151" s="31">
        <f t="shared" ca="1" si="14"/>
        <v>67.17371023118541</v>
      </c>
      <c r="D151" s="31">
        <f t="shared" ca="1" si="14"/>
        <v>144.33062930680771</v>
      </c>
      <c r="E151" s="32">
        <v>67.242832953624756</v>
      </c>
      <c r="F151" s="32">
        <v>131.55784345749237</v>
      </c>
      <c r="I151" s="17"/>
      <c r="J151" s="17"/>
      <c r="K151" s="17"/>
      <c r="L151" s="17"/>
    </row>
    <row r="152" spans="3:12" x14ac:dyDescent="0.25">
      <c r="C152" s="31">
        <f t="shared" ca="1" si="14"/>
        <v>63.312749343649301</v>
      </c>
      <c r="D152" s="31">
        <f t="shared" ca="1" si="14"/>
        <v>116.6072356280869</v>
      </c>
      <c r="E152" s="32">
        <v>56.947088070710777</v>
      </c>
      <c r="F152" s="32">
        <v>117.48133271158696</v>
      </c>
      <c r="I152" s="17"/>
      <c r="J152" s="17"/>
      <c r="K152" s="17"/>
      <c r="L152" s="17"/>
    </row>
    <row r="153" spans="3:12" x14ac:dyDescent="0.25">
      <c r="C153" s="31">
        <f t="shared" ca="1" si="14"/>
        <v>56.348896964719835</v>
      </c>
      <c r="D153" s="31">
        <f t="shared" ca="1" si="14"/>
        <v>130.17166746670333</v>
      </c>
      <c r="E153" s="32">
        <v>62.11157804239761</v>
      </c>
      <c r="F153" s="32">
        <v>106.013392607136</v>
      </c>
      <c r="I153" s="17"/>
      <c r="J153" s="17"/>
      <c r="K153" s="17"/>
      <c r="L153" s="17"/>
    </row>
    <row r="154" spans="3:12" x14ac:dyDescent="0.25">
      <c r="C154" s="31">
        <f t="shared" ref="C154:D173" ca="1" si="15">_xlfn.NORM.INV(RAND(),C$4,C$5)</f>
        <v>57.361279827149588</v>
      </c>
      <c r="D154" s="31">
        <f t="shared" ca="1" si="15"/>
        <v>112.81409397615728</v>
      </c>
      <c r="E154" s="32">
        <v>59.288203138573991</v>
      </c>
      <c r="F154" s="32">
        <v>90.466267065566427</v>
      </c>
      <c r="I154" s="17"/>
      <c r="J154" s="17"/>
      <c r="K154" s="17"/>
      <c r="L154" s="17"/>
    </row>
    <row r="155" spans="3:12" x14ac:dyDescent="0.25">
      <c r="C155" s="31">
        <f t="shared" ca="1" si="15"/>
        <v>61.982695648240494</v>
      </c>
      <c r="D155" s="31">
        <f t="shared" ca="1" si="15"/>
        <v>108.49889056378396</v>
      </c>
      <c r="E155" s="32">
        <v>40.075504737717083</v>
      </c>
      <c r="F155" s="32">
        <v>128.68845929839</v>
      </c>
      <c r="I155" s="17"/>
      <c r="J155" s="17"/>
      <c r="K155" s="17"/>
      <c r="L155" s="17"/>
    </row>
    <row r="156" spans="3:12" x14ac:dyDescent="0.25">
      <c r="C156" s="31">
        <f t="shared" ca="1" si="15"/>
        <v>46.162592858589122</v>
      </c>
      <c r="D156" s="31">
        <f t="shared" ca="1" si="15"/>
        <v>132.19476321617699</v>
      </c>
      <c r="E156" s="32">
        <v>85.013346484244352</v>
      </c>
      <c r="F156" s="32">
        <v>142.15416250217248</v>
      </c>
      <c r="I156" s="17"/>
      <c r="J156" s="17"/>
      <c r="K156" s="17"/>
      <c r="L156" s="17"/>
    </row>
    <row r="157" spans="3:12" x14ac:dyDescent="0.25">
      <c r="C157" s="31">
        <f t="shared" ca="1" si="15"/>
        <v>68.095378783898639</v>
      </c>
      <c r="D157" s="31">
        <f t="shared" ca="1" si="15"/>
        <v>102.71556129500701</v>
      </c>
      <c r="E157" s="32">
        <v>56.197601564733041</v>
      </c>
      <c r="F157" s="32">
        <v>120.90379898550822</v>
      </c>
      <c r="I157" s="17"/>
      <c r="J157" s="17"/>
      <c r="K157" s="17"/>
      <c r="L157" s="17"/>
    </row>
    <row r="158" spans="3:12" x14ac:dyDescent="0.25">
      <c r="C158" s="31">
        <f t="shared" ca="1" si="15"/>
        <v>50.494459296682031</v>
      </c>
      <c r="D158" s="31">
        <f t="shared" ca="1" si="15"/>
        <v>128.0019794176871</v>
      </c>
      <c r="E158" s="32">
        <v>50.621010253111763</v>
      </c>
      <c r="F158" s="32">
        <v>95.905837001240798</v>
      </c>
      <c r="I158" s="17"/>
      <c r="J158" s="17"/>
      <c r="K158" s="17"/>
      <c r="L158" s="17"/>
    </row>
    <row r="159" spans="3:12" x14ac:dyDescent="0.25">
      <c r="C159" s="31">
        <f t="shared" ca="1" si="15"/>
        <v>61.20176604594343</v>
      </c>
      <c r="D159" s="31">
        <f t="shared" ca="1" si="15"/>
        <v>93.510267749802409</v>
      </c>
      <c r="E159" s="32">
        <v>84.513409981869486</v>
      </c>
      <c r="F159" s="32">
        <v>121.63840263895784</v>
      </c>
      <c r="I159" s="17"/>
      <c r="J159" s="17"/>
      <c r="K159" s="17"/>
      <c r="L159" s="17"/>
    </row>
    <row r="160" spans="3:12" x14ac:dyDescent="0.25">
      <c r="C160" s="31">
        <f t="shared" ca="1" si="15"/>
        <v>49.248251369339926</v>
      </c>
      <c r="D160" s="31">
        <f t="shared" ca="1" si="15"/>
        <v>105.45915697104977</v>
      </c>
      <c r="E160" s="32">
        <v>48.845633482023935</v>
      </c>
      <c r="F160" s="32">
        <v>122.60697245207534</v>
      </c>
      <c r="I160" s="17"/>
      <c r="J160" s="17"/>
      <c r="K160" s="17"/>
      <c r="L160" s="17"/>
    </row>
    <row r="161" spans="3:12" x14ac:dyDescent="0.25">
      <c r="C161" s="31">
        <f t="shared" ca="1" si="15"/>
        <v>70.818792907019386</v>
      </c>
      <c r="D161" s="31">
        <f t="shared" ca="1" si="15"/>
        <v>136.13746301763197</v>
      </c>
      <c r="E161" s="32">
        <v>76.95999352806885</v>
      </c>
      <c r="F161" s="32">
        <v>159.94584481776465</v>
      </c>
      <c r="I161" s="17"/>
      <c r="J161" s="17"/>
      <c r="K161" s="17"/>
      <c r="L161" s="17"/>
    </row>
    <row r="162" spans="3:12" x14ac:dyDescent="0.25">
      <c r="C162" s="31">
        <f t="shared" ca="1" si="15"/>
        <v>43.249107321486179</v>
      </c>
      <c r="D162" s="31">
        <f t="shared" ca="1" si="15"/>
        <v>129.71476034614119</v>
      </c>
      <c r="E162" s="32">
        <v>57.183553291239733</v>
      </c>
      <c r="F162" s="32">
        <v>77.974889593045077</v>
      </c>
      <c r="I162" s="17"/>
      <c r="J162" s="17"/>
      <c r="K162" s="17"/>
      <c r="L162" s="17"/>
    </row>
    <row r="163" spans="3:12" x14ac:dyDescent="0.25">
      <c r="C163" s="31">
        <f t="shared" ca="1" si="15"/>
        <v>39.149362484304874</v>
      </c>
      <c r="D163" s="31">
        <f t="shared" ca="1" si="15"/>
        <v>107.92533483253703</v>
      </c>
      <c r="E163" s="32">
        <v>76.638238163216087</v>
      </c>
      <c r="F163" s="32">
        <v>102.8666745413439</v>
      </c>
      <c r="I163" s="17"/>
      <c r="J163" s="17"/>
      <c r="K163" s="17"/>
      <c r="L163" s="17"/>
    </row>
    <row r="164" spans="3:12" x14ac:dyDescent="0.25">
      <c r="C164" s="31">
        <f t="shared" ca="1" si="15"/>
        <v>59.984008036967971</v>
      </c>
      <c r="D164" s="31">
        <f t="shared" ca="1" si="15"/>
        <v>145.49524386342767</v>
      </c>
      <c r="E164" s="32">
        <v>55.346620787799814</v>
      </c>
      <c r="F164" s="32">
        <v>147.9689511594139</v>
      </c>
      <c r="I164" s="17"/>
      <c r="J164" s="17"/>
      <c r="K164" s="17"/>
      <c r="L164" s="17"/>
    </row>
    <row r="165" spans="3:12" x14ac:dyDescent="0.25">
      <c r="C165" s="31">
        <f t="shared" ca="1" si="15"/>
        <v>52.988665832007023</v>
      </c>
      <c r="D165" s="31">
        <f t="shared" ca="1" si="15"/>
        <v>82.787160545135052</v>
      </c>
      <c r="E165" s="32">
        <v>69.348000238508334</v>
      </c>
      <c r="F165" s="32">
        <v>130.55155092079343</v>
      </c>
      <c r="I165" s="17"/>
      <c r="J165" s="17"/>
      <c r="K165" s="17"/>
      <c r="L165" s="17"/>
    </row>
    <row r="166" spans="3:12" x14ac:dyDescent="0.25">
      <c r="C166" s="31">
        <f t="shared" ca="1" si="15"/>
        <v>64.739899998904946</v>
      </c>
      <c r="D166" s="31">
        <f t="shared" ca="1" si="15"/>
        <v>100.29618339793298</v>
      </c>
      <c r="E166" s="32">
        <v>79.069746565818633</v>
      </c>
      <c r="F166" s="32">
        <v>90.546625335815079</v>
      </c>
      <c r="I166" s="17"/>
      <c r="J166" s="17"/>
      <c r="K166" s="17"/>
      <c r="L166" s="17"/>
    </row>
    <row r="167" spans="3:12" x14ac:dyDescent="0.25">
      <c r="C167" s="31">
        <f t="shared" ca="1" si="15"/>
        <v>68.80461704209128</v>
      </c>
      <c r="D167" s="31">
        <f t="shared" ca="1" si="15"/>
        <v>106.59343327401504</v>
      </c>
      <c r="E167" s="32">
        <v>61.078771924098731</v>
      </c>
      <c r="F167" s="32">
        <v>103.75413568106694</v>
      </c>
      <c r="I167" s="17"/>
      <c r="J167" s="17"/>
      <c r="K167" s="17"/>
      <c r="L167" s="17"/>
    </row>
    <row r="168" spans="3:12" x14ac:dyDescent="0.25">
      <c r="C168" s="31">
        <f t="shared" ca="1" si="15"/>
        <v>52.270133973473612</v>
      </c>
      <c r="D168" s="31">
        <f t="shared" ca="1" si="15"/>
        <v>109.33135048365303</v>
      </c>
      <c r="E168" s="32">
        <v>63.186168451730417</v>
      </c>
      <c r="F168" s="32">
        <v>60.345838336806594</v>
      </c>
      <c r="I168" s="17"/>
      <c r="J168" s="17"/>
      <c r="K168" s="17"/>
      <c r="L168" s="17"/>
    </row>
    <row r="169" spans="3:12" x14ac:dyDescent="0.25">
      <c r="C169" s="31">
        <f t="shared" ca="1" si="15"/>
        <v>68.722029216285762</v>
      </c>
      <c r="D169" s="31">
        <f t="shared" ca="1" si="15"/>
        <v>133.47301584816748</v>
      </c>
      <c r="E169" s="32">
        <v>59.114186272706206</v>
      </c>
      <c r="F169" s="32">
        <v>118.69710642952926</v>
      </c>
      <c r="I169" s="17"/>
      <c r="J169" s="17"/>
      <c r="K169" s="17"/>
      <c r="L169" s="17"/>
    </row>
    <row r="170" spans="3:12" x14ac:dyDescent="0.25">
      <c r="C170" s="31">
        <f t="shared" ca="1" si="15"/>
        <v>54.745323664387008</v>
      </c>
      <c r="D170" s="31">
        <f t="shared" ca="1" si="15"/>
        <v>107.09331164250089</v>
      </c>
      <c r="E170" s="32">
        <v>47.184099491086698</v>
      </c>
      <c r="F170" s="32">
        <v>114.42745964721651</v>
      </c>
      <c r="I170" s="17"/>
      <c r="J170" s="17"/>
      <c r="K170" s="17"/>
      <c r="L170" s="17"/>
    </row>
    <row r="171" spans="3:12" x14ac:dyDescent="0.25">
      <c r="C171" s="31">
        <f t="shared" ca="1" si="15"/>
        <v>57.132371640716784</v>
      </c>
      <c r="D171" s="31">
        <f t="shared" ca="1" si="15"/>
        <v>117.81507180567388</v>
      </c>
      <c r="E171" s="32">
        <v>38.228407303702731</v>
      </c>
      <c r="F171" s="32">
        <v>99.815438865083422</v>
      </c>
      <c r="I171" s="17"/>
      <c r="J171" s="17"/>
      <c r="K171" s="17"/>
      <c r="L171" s="17"/>
    </row>
    <row r="172" spans="3:12" x14ac:dyDescent="0.25">
      <c r="C172" s="31">
        <f t="shared" ca="1" si="15"/>
        <v>57.613190203828267</v>
      </c>
      <c r="D172" s="31">
        <f t="shared" ca="1" si="15"/>
        <v>106.0247310586263</v>
      </c>
      <c r="E172" s="32">
        <v>57.098557458479512</v>
      </c>
      <c r="F172" s="32">
        <v>78.436473982396308</v>
      </c>
      <c r="I172" s="17"/>
      <c r="J172" s="17"/>
      <c r="K172" s="17"/>
      <c r="L172" s="17"/>
    </row>
    <row r="173" spans="3:12" x14ac:dyDescent="0.25">
      <c r="C173" s="31">
        <f t="shared" ca="1" si="15"/>
        <v>60.129850595907236</v>
      </c>
      <c r="D173" s="31">
        <f t="shared" ca="1" si="15"/>
        <v>121.05892633349876</v>
      </c>
      <c r="E173" s="32">
        <v>59.177532621643792</v>
      </c>
      <c r="F173" s="32">
        <v>149.50024554384663</v>
      </c>
      <c r="I173" s="17"/>
      <c r="J173" s="17"/>
      <c r="K173" s="17"/>
      <c r="L173" s="17"/>
    </row>
    <row r="174" spans="3:12" x14ac:dyDescent="0.25">
      <c r="C174" s="31">
        <f t="shared" ref="C174:D193" ca="1" si="16">_xlfn.NORM.INV(RAND(),C$4,C$5)</f>
        <v>51.827502634559352</v>
      </c>
      <c r="D174" s="31">
        <f t="shared" ca="1" si="16"/>
        <v>134.78180652761091</v>
      </c>
      <c r="E174" s="32">
        <v>63.028956831627852</v>
      </c>
      <c r="F174" s="32">
        <v>73.231006622926643</v>
      </c>
      <c r="I174" s="17"/>
      <c r="J174" s="17"/>
      <c r="K174" s="17"/>
      <c r="L174" s="17"/>
    </row>
    <row r="175" spans="3:12" x14ac:dyDescent="0.25">
      <c r="C175" s="31">
        <f t="shared" ca="1" si="16"/>
        <v>47.681886438333819</v>
      </c>
      <c r="D175" s="31">
        <f t="shared" ca="1" si="16"/>
        <v>112.2301644800373</v>
      </c>
      <c r="E175" s="32">
        <v>61.648433391753336</v>
      </c>
      <c r="F175" s="32">
        <v>114.94669062302815</v>
      </c>
      <c r="I175" s="17"/>
      <c r="J175" s="17"/>
      <c r="K175" s="17"/>
      <c r="L175" s="17"/>
    </row>
    <row r="176" spans="3:12" x14ac:dyDescent="0.25">
      <c r="C176" s="31">
        <f t="shared" ca="1" si="16"/>
        <v>64.313878697186823</v>
      </c>
      <c r="D176" s="31">
        <f t="shared" ca="1" si="16"/>
        <v>112.90722859766254</v>
      </c>
      <c r="E176" s="32">
        <v>55.733692846959812</v>
      </c>
      <c r="F176" s="32">
        <v>95.290219861079237</v>
      </c>
      <c r="I176" s="17"/>
      <c r="J176" s="17"/>
      <c r="K176" s="17"/>
      <c r="L176" s="17"/>
    </row>
    <row r="177" spans="3:12" x14ac:dyDescent="0.25">
      <c r="C177" s="31">
        <f t="shared" ca="1" si="16"/>
        <v>62.074849046088886</v>
      </c>
      <c r="D177" s="31">
        <f t="shared" ca="1" si="16"/>
        <v>99.638962665659079</v>
      </c>
      <c r="E177" s="32">
        <v>80.878509593676824</v>
      </c>
      <c r="F177" s="32">
        <v>118.45285256536718</v>
      </c>
      <c r="I177" s="17"/>
      <c r="J177" s="17"/>
      <c r="K177" s="17"/>
      <c r="L177" s="17"/>
    </row>
    <row r="178" spans="3:12" x14ac:dyDescent="0.25">
      <c r="C178" s="31">
        <f t="shared" ca="1" si="16"/>
        <v>78.042558139930264</v>
      </c>
      <c r="D178" s="31">
        <f t="shared" ca="1" si="16"/>
        <v>116.24791801335816</v>
      </c>
      <c r="E178" s="32">
        <v>58.241855129450848</v>
      </c>
      <c r="F178" s="32">
        <v>110.18552462975738</v>
      </c>
      <c r="I178" s="17"/>
      <c r="J178" s="17"/>
      <c r="K178" s="17"/>
      <c r="L178" s="17"/>
    </row>
    <row r="179" spans="3:12" x14ac:dyDescent="0.25">
      <c r="C179" s="31">
        <f t="shared" ca="1" si="16"/>
        <v>62.912766386677383</v>
      </c>
      <c r="D179" s="31">
        <f t="shared" ca="1" si="16"/>
        <v>99.415379708726732</v>
      </c>
      <c r="E179" s="32">
        <v>54.000930389409618</v>
      </c>
      <c r="F179" s="32">
        <v>130.28213892570713</v>
      </c>
      <c r="I179" s="17"/>
      <c r="J179" s="17"/>
      <c r="K179" s="17"/>
      <c r="L179" s="17"/>
    </row>
    <row r="180" spans="3:12" x14ac:dyDescent="0.25">
      <c r="C180" s="31">
        <f t="shared" ca="1" si="16"/>
        <v>56.073150933716548</v>
      </c>
      <c r="D180" s="31">
        <f t="shared" ca="1" si="16"/>
        <v>139.73981768567933</v>
      </c>
      <c r="E180" s="32">
        <v>66.089003621010974</v>
      </c>
      <c r="F180" s="32">
        <v>78.926810491551521</v>
      </c>
      <c r="I180" s="17"/>
      <c r="J180" s="17"/>
      <c r="K180" s="17"/>
      <c r="L180" s="17"/>
    </row>
    <row r="181" spans="3:12" x14ac:dyDescent="0.25">
      <c r="C181" s="31">
        <f t="shared" ca="1" si="16"/>
        <v>54.433352909553861</v>
      </c>
      <c r="D181" s="31">
        <f t="shared" ca="1" si="16"/>
        <v>137.17152451829983</v>
      </c>
      <c r="E181" s="32">
        <v>51.831145269694716</v>
      </c>
      <c r="F181" s="32">
        <v>97.950407031763632</v>
      </c>
      <c r="I181" s="17"/>
      <c r="J181" s="17"/>
      <c r="K181" s="17"/>
      <c r="L181" s="17"/>
    </row>
    <row r="182" spans="3:12" x14ac:dyDescent="0.25">
      <c r="C182" s="31">
        <f t="shared" ca="1" si="16"/>
        <v>58.636547010661893</v>
      </c>
      <c r="D182" s="31">
        <f t="shared" ca="1" si="16"/>
        <v>117.41640152827452</v>
      </c>
      <c r="E182" s="32">
        <v>50.517312138754967</v>
      </c>
      <c r="F182" s="32">
        <v>78.169431832845731</v>
      </c>
      <c r="I182" s="17"/>
      <c r="J182" s="17"/>
      <c r="K182" s="17"/>
      <c r="L182" s="17"/>
    </row>
    <row r="183" spans="3:12" x14ac:dyDescent="0.25">
      <c r="C183" s="31">
        <f t="shared" ca="1" si="16"/>
        <v>69.738944408381613</v>
      </c>
      <c r="D183" s="31">
        <f t="shared" ca="1" si="16"/>
        <v>139.27382346838044</v>
      </c>
      <c r="E183" s="32">
        <v>70.837802907475307</v>
      </c>
      <c r="F183" s="32">
        <v>85.402651994614615</v>
      </c>
      <c r="I183" s="17"/>
      <c r="J183" s="17"/>
      <c r="K183" s="17"/>
      <c r="L183" s="17"/>
    </row>
    <row r="184" spans="3:12" x14ac:dyDescent="0.25">
      <c r="C184" s="31">
        <f t="shared" ca="1" si="16"/>
        <v>72.202286677164309</v>
      </c>
      <c r="D184" s="31">
        <f t="shared" ca="1" si="16"/>
        <v>93.354142031389046</v>
      </c>
      <c r="E184" s="32">
        <v>58.649542080375333</v>
      </c>
      <c r="F184" s="32">
        <v>117.67208433361931</v>
      </c>
      <c r="I184" s="17"/>
      <c r="J184" s="17"/>
      <c r="K184" s="17"/>
      <c r="L184" s="17"/>
    </row>
    <row r="185" spans="3:12" x14ac:dyDescent="0.25">
      <c r="C185" s="31">
        <f t="shared" ca="1" si="16"/>
        <v>49.04585981887282</v>
      </c>
      <c r="D185" s="31">
        <f t="shared" ca="1" si="16"/>
        <v>123.78909717568496</v>
      </c>
      <c r="E185" s="32">
        <v>52.213889900857914</v>
      </c>
      <c r="F185" s="32">
        <v>132.08389800969945</v>
      </c>
      <c r="I185" s="17"/>
      <c r="J185" s="17"/>
      <c r="K185" s="17"/>
      <c r="L185" s="17"/>
    </row>
    <row r="186" spans="3:12" x14ac:dyDescent="0.25">
      <c r="C186" s="31">
        <f t="shared" ca="1" si="16"/>
        <v>58.802130059184428</v>
      </c>
      <c r="D186" s="31">
        <f t="shared" ca="1" si="16"/>
        <v>107.09743215195651</v>
      </c>
      <c r="E186" s="32">
        <v>54.909472896304372</v>
      </c>
      <c r="F186" s="32">
        <v>127.95399797984147</v>
      </c>
      <c r="I186" s="17"/>
      <c r="J186" s="17"/>
      <c r="K186" s="17"/>
      <c r="L186" s="17"/>
    </row>
    <row r="187" spans="3:12" x14ac:dyDescent="0.25">
      <c r="C187" s="31">
        <f t="shared" ca="1" si="16"/>
        <v>56.508652732057705</v>
      </c>
      <c r="D187" s="31">
        <f t="shared" ca="1" si="16"/>
        <v>118.675700577447</v>
      </c>
      <c r="E187" s="32">
        <v>74.823410870117243</v>
      </c>
      <c r="F187" s="32">
        <v>104.53334715928456</v>
      </c>
      <c r="I187" s="17"/>
      <c r="J187" s="17"/>
      <c r="K187" s="17"/>
      <c r="L187" s="17"/>
    </row>
    <row r="188" spans="3:12" x14ac:dyDescent="0.25">
      <c r="C188" s="31">
        <f t="shared" ca="1" si="16"/>
        <v>66.440628871610116</v>
      </c>
      <c r="D188" s="31">
        <f t="shared" ca="1" si="16"/>
        <v>110.20725172225744</v>
      </c>
      <c r="E188" s="32">
        <v>59.016215352881595</v>
      </c>
      <c r="F188" s="32">
        <v>101.84610962601187</v>
      </c>
      <c r="I188" s="17"/>
      <c r="J188" s="17"/>
      <c r="K188" s="17"/>
      <c r="L188" s="17"/>
    </row>
    <row r="189" spans="3:12" x14ac:dyDescent="0.25">
      <c r="C189" s="31">
        <f t="shared" ca="1" si="16"/>
        <v>49.600626997953825</v>
      </c>
      <c r="D189" s="31">
        <f t="shared" ca="1" si="16"/>
        <v>119.4067458287787</v>
      </c>
      <c r="E189" s="32">
        <v>65.213212501215892</v>
      </c>
      <c r="F189" s="32">
        <v>88.581968160113306</v>
      </c>
      <c r="I189" s="17"/>
      <c r="J189" s="17"/>
      <c r="K189" s="17"/>
      <c r="L189" s="17"/>
    </row>
    <row r="190" spans="3:12" x14ac:dyDescent="0.25">
      <c r="C190" s="31">
        <f t="shared" ca="1" si="16"/>
        <v>51.826070073874895</v>
      </c>
      <c r="D190" s="31">
        <f t="shared" ca="1" si="16"/>
        <v>163.49284900523924</v>
      </c>
      <c r="E190" s="32">
        <v>44.564887650277548</v>
      </c>
      <c r="F190" s="32">
        <v>129.04380222135327</v>
      </c>
      <c r="I190" s="17"/>
      <c r="J190" s="17"/>
      <c r="K190" s="17"/>
      <c r="L190" s="17"/>
    </row>
    <row r="191" spans="3:12" x14ac:dyDescent="0.25">
      <c r="C191" s="31">
        <f t="shared" ca="1" si="16"/>
        <v>65.837964335838748</v>
      </c>
      <c r="D191" s="31">
        <f t="shared" ca="1" si="16"/>
        <v>125.35367694028001</v>
      </c>
      <c r="E191" s="32">
        <v>59.777332687285494</v>
      </c>
      <c r="F191" s="32">
        <v>161.02839537105484</v>
      </c>
      <c r="I191" s="17"/>
      <c r="J191" s="17"/>
      <c r="K191" s="17"/>
      <c r="L191" s="17"/>
    </row>
    <row r="192" spans="3:12" x14ac:dyDescent="0.25">
      <c r="C192" s="31">
        <f t="shared" ca="1" si="16"/>
        <v>61.517769405553317</v>
      </c>
      <c r="D192" s="31">
        <f t="shared" ca="1" si="16"/>
        <v>116.69502692240087</v>
      </c>
      <c r="E192" s="32">
        <v>59.614754196278284</v>
      </c>
      <c r="F192" s="32">
        <v>82.484702347745881</v>
      </c>
      <c r="I192" s="17"/>
      <c r="J192" s="17"/>
      <c r="K192" s="17"/>
      <c r="L192" s="17"/>
    </row>
    <row r="193" spans="3:12" x14ac:dyDescent="0.25">
      <c r="C193" s="31">
        <f t="shared" ca="1" si="16"/>
        <v>54.078949335176844</v>
      </c>
      <c r="D193" s="31">
        <f t="shared" ca="1" si="16"/>
        <v>172.54104150520749</v>
      </c>
      <c r="E193" s="32">
        <v>52.590555438278656</v>
      </c>
      <c r="F193" s="32">
        <v>94.743882748061253</v>
      </c>
      <c r="I193" s="17"/>
      <c r="J193" s="17"/>
      <c r="K193" s="17"/>
      <c r="L193" s="17"/>
    </row>
    <row r="194" spans="3:12" x14ac:dyDescent="0.25">
      <c r="C194" s="31">
        <f t="shared" ref="C194:D213" ca="1" si="17">_xlfn.NORM.INV(RAND(),C$4,C$5)</f>
        <v>53.301272266813797</v>
      </c>
      <c r="D194" s="31">
        <f t="shared" ca="1" si="17"/>
        <v>100.25598979292535</v>
      </c>
      <c r="E194" s="32">
        <v>55.172892336066369</v>
      </c>
      <c r="F194" s="32">
        <v>87.284737361801135</v>
      </c>
      <c r="I194" s="17"/>
      <c r="J194" s="17"/>
      <c r="K194" s="17"/>
      <c r="L194" s="17"/>
    </row>
    <row r="195" spans="3:12" x14ac:dyDescent="0.25">
      <c r="C195" s="31">
        <f t="shared" ca="1" si="17"/>
        <v>62.006730031326327</v>
      </c>
      <c r="D195" s="31">
        <f t="shared" ca="1" si="17"/>
        <v>86.922886188655625</v>
      </c>
      <c r="E195" s="32">
        <v>59.886396543133635</v>
      </c>
      <c r="F195" s="32">
        <v>126.25784689412257</v>
      </c>
      <c r="I195" s="17"/>
      <c r="J195" s="17"/>
      <c r="K195" s="17"/>
      <c r="L195" s="17"/>
    </row>
    <row r="196" spans="3:12" x14ac:dyDescent="0.25">
      <c r="C196" s="31">
        <f t="shared" ca="1" si="17"/>
        <v>65.441865828552423</v>
      </c>
      <c r="D196" s="31">
        <f t="shared" ca="1" si="17"/>
        <v>118.00986398655056</v>
      </c>
      <c r="E196" s="32">
        <v>68.884333232759388</v>
      </c>
      <c r="F196" s="32">
        <v>109.98235142111714</v>
      </c>
      <c r="I196" s="17"/>
      <c r="J196" s="17"/>
      <c r="K196" s="17"/>
      <c r="L196" s="17"/>
    </row>
    <row r="197" spans="3:12" x14ac:dyDescent="0.25">
      <c r="C197" s="31">
        <f t="shared" ca="1" si="17"/>
        <v>53.113776342940156</v>
      </c>
      <c r="D197" s="31">
        <f t="shared" ca="1" si="17"/>
        <v>147.44568469572576</v>
      </c>
      <c r="E197" s="32">
        <v>46.502624204494566</v>
      </c>
      <c r="F197" s="32">
        <v>112.28299468183661</v>
      </c>
      <c r="I197" s="17"/>
      <c r="J197" s="17"/>
      <c r="K197" s="17"/>
      <c r="L197" s="17"/>
    </row>
    <row r="198" spans="3:12" x14ac:dyDescent="0.25">
      <c r="C198" s="31">
        <f t="shared" ca="1" si="17"/>
        <v>59.77466304548404</v>
      </c>
      <c r="D198" s="31">
        <f t="shared" ca="1" si="17"/>
        <v>150.86041045671809</v>
      </c>
      <c r="E198" s="32">
        <v>49.929454798226899</v>
      </c>
      <c r="F198" s="32">
        <v>78.352411750851573</v>
      </c>
      <c r="I198" s="17"/>
      <c r="J198" s="17"/>
      <c r="K198" s="17"/>
      <c r="L198" s="17"/>
    </row>
    <row r="199" spans="3:12" x14ac:dyDescent="0.25">
      <c r="C199" s="31">
        <f t="shared" ca="1" si="17"/>
        <v>64.581198235181589</v>
      </c>
      <c r="D199" s="31">
        <f t="shared" ca="1" si="17"/>
        <v>117.60169121754488</v>
      </c>
      <c r="E199" s="32">
        <v>52.571698572260075</v>
      </c>
      <c r="F199" s="32">
        <v>103.36641633461497</v>
      </c>
      <c r="I199" s="17"/>
      <c r="J199" s="17"/>
      <c r="K199" s="17"/>
      <c r="L199" s="17"/>
    </row>
    <row r="200" spans="3:12" x14ac:dyDescent="0.25">
      <c r="C200" s="31">
        <f t="shared" ca="1" si="17"/>
        <v>63.179024983104156</v>
      </c>
      <c r="D200" s="31">
        <f t="shared" ca="1" si="17"/>
        <v>93.051216825134276</v>
      </c>
      <c r="E200" s="32">
        <v>52.624956636812833</v>
      </c>
      <c r="F200" s="32">
        <v>94.183761823671333</v>
      </c>
      <c r="I200" s="17"/>
      <c r="J200" s="17"/>
      <c r="K200" s="17"/>
      <c r="L200" s="17"/>
    </row>
    <row r="201" spans="3:12" x14ac:dyDescent="0.25">
      <c r="C201" s="31">
        <f t="shared" ca="1" si="17"/>
        <v>44.527896002784253</v>
      </c>
      <c r="D201" s="31">
        <f t="shared" ca="1" si="17"/>
        <v>109.34005390856269</v>
      </c>
      <c r="E201" s="32">
        <v>57.875726873664377</v>
      </c>
      <c r="F201" s="32">
        <v>95.841749780143815</v>
      </c>
      <c r="I201" s="17"/>
      <c r="J201" s="17"/>
      <c r="K201" s="17"/>
      <c r="L201" s="17"/>
    </row>
    <row r="202" spans="3:12" x14ac:dyDescent="0.25">
      <c r="C202" s="31">
        <f t="shared" ca="1" si="17"/>
        <v>50.337819641574868</v>
      </c>
      <c r="D202" s="31">
        <f t="shared" ca="1" si="17"/>
        <v>102.49312105851162</v>
      </c>
      <c r="E202" s="32">
        <v>60.298263576698623</v>
      </c>
      <c r="F202" s="32">
        <v>137.56314946312526</v>
      </c>
      <c r="I202" s="17"/>
      <c r="J202" s="17"/>
      <c r="K202" s="17"/>
      <c r="L202" s="17"/>
    </row>
    <row r="203" spans="3:12" x14ac:dyDescent="0.25">
      <c r="C203" s="31">
        <f t="shared" ca="1" si="17"/>
        <v>47.105051700765898</v>
      </c>
      <c r="D203" s="31">
        <f t="shared" ca="1" si="17"/>
        <v>99.4741668217289</v>
      </c>
      <c r="E203" s="32">
        <v>58.419679446415223</v>
      </c>
      <c r="F203" s="32">
        <v>102.99681283195032</v>
      </c>
      <c r="I203" s="17"/>
      <c r="J203" s="17"/>
      <c r="K203" s="17"/>
      <c r="L203" s="17"/>
    </row>
    <row r="204" spans="3:12" x14ac:dyDescent="0.25">
      <c r="C204" s="31">
        <f t="shared" ca="1" si="17"/>
        <v>59.54310369938738</v>
      </c>
      <c r="D204" s="31">
        <f t="shared" ca="1" si="17"/>
        <v>96.884899524476907</v>
      </c>
      <c r="E204" s="32">
        <v>59.307287997926785</v>
      </c>
      <c r="F204" s="32">
        <v>121.75181517250927</v>
      </c>
      <c r="I204" s="17"/>
      <c r="J204" s="17"/>
      <c r="K204" s="17"/>
      <c r="L204" s="17"/>
    </row>
    <row r="205" spans="3:12" x14ac:dyDescent="0.25">
      <c r="C205" s="31">
        <f t="shared" ca="1" si="17"/>
        <v>63.972328949005203</v>
      </c>
      <c r="D205" s="31">
        <f t="shared" ca="1" si="17"/>
        <v>88.781407190277378</v>
      </c>
      <c r="E205" s="32">
        <v>69.157973442293368</v>
      </c>
      <c r="F205" s="32">
        <v>107.55643706334099</v>
      </c>
      <c r="I205" s="17"/>
      <c r="J205" s="17"/>
      <c r="K205" s="17"/>
      <c r="L205" s="17"/>
    </row>
    <row r="206" spans="3:12" x14ac:dyDescent="0.25">
      <c r="C206" s="31">
        <f t="shared" ca="1" si="17"/>
        <v>30.263743628275186</v>
      </c>
      <c r="D206" s="31">
        <f t="shared" ca="1" si="17"/>
        <v>126.4987031522335</v>
      </c>
      <c r="E206" s="32">
        <v>57.11148138941163</v>
      </c>
      <c r="F206" s="32">
        <v>104.11900803482975</v>
      </c>
      <c r="I206" s="17"/>
      <c r="J206" s="17"/>
      <c r="K206" s="17"/>
      <c r="L206" s="17"/>
    </row>
    <row r="207" spans="3:12" x14ac:dyDescent="0.25">
      <c r="C207" s="31">
        <f t="shared" ca="1" si="17"/>
        <v>76.994545834708902</v>
      </c>
      <c r="D207" s="31">
        <f t="shared" ca="1" si="17"/>
        <v>114.1661537828284</v>
      </c>
      <c r="E207" s="32">
        <v>60.438288465606597</v>
      </c>
      <c r="F207" s="32">
        <v>100.62888498398044</v>
      </c>
      <c r="I207" s="17"/>
      <c r="J207" s="17"/>
      <c r="K207" s="17"/>
      <c r="L207" s="17"/>
    </row>
    <row r="208" spans="3:12" x14ac:dyDescent="0.25">
      <c r="C208" s="31">
        <f t="shared" ca="1" si="17"/>
        <v>60.691839442935127</v>
      </c>
      <c r="D208" s="31">
        <f t="shared" ca="1" si="17"/>
        <v>112.40522745600499</v>
      </c>
      <c r="E208" s="32">
        <v>55.762967117180665</v>
      </c>
      <c r="F208" s="32">
        <v>146.86546140199198</v>
      </c>
      <c r="I208" s="17"/>
      <c r="J208" s="17"/>
      <c r="K208" s="17"/>
      <c r="L208" s="17"/>
    </row>
    <row r="209" spans="3:12" x14ac:dyDescent="0.25">
      <c r="C209" s="31">
        <f t="shared" ca="1" si="17"/>
        <v>52.136654888642525</v>
      </c>
      <c r="D209" s="31">
        <f t="shared" ca="1" si="17"/>
        <v>123.01924104352049</v>
      </c>
      <c r="E209" s="32">
        <v>49.510175801105703</v>
      </c>
      <c r="F209" s="32">
        <v>82.241412932650093</v>
      </c>
      <c r="I209" s="17"/>
      <c r="J209" s="17"/>
      <c r="K209" s="17"/>
      <c r="L209" s="17"/>
    </row>
    <row r="210" spans="3:12" x14ac:dyDescent="0.25">
      <c r="C210" s="31">
        <f t="shared" ca="1" si="17"/>
        <v>69.266423593016185</v>
      </c>
      <c r="D210" s="31">
        <f t="shared" ca="1" si="17"/>
        <v>98.78473721733603</v>
      </c>
      <c r="E210" s="32">
        <v>62.28549802485098</v>
      </c>
      <c r="F210" s="32">
        <v>111.84555494479966</v>
      </c>
      <c r="I210" s="17"/>
      <c r="J210" s="17"/>
      <c r="K210" s="17"/>
      <c r="L210" s="17"/>
    </row>
    <row r="211" spans="3:12" x14ac:dyDescent="0.25">
      <c r="C211" s="31">
        <f t="shared" ca="1" si="17"/>
        <v>54.538484161741422</v>
      </c>
      <c r="D211" s="31">
        <f t="shared" ca="1" si="17"/>
        <v>96.744082814805466</v>
      </c>
      <c r="E211" s="32">
        <v>59.73355410063435</v>
      </c>
      <c r="F211" s="32">
        <v>123.49970306878198</v>
      </c>
      <c r="I211" s="17"/>
      <c r="J211" s="17"/>
      <c r="K211" s="17"/>
      <c r="L211" s="17"/>
    </row>
    <row r="212" spans="3:12" x14ac:dyDescent="0.25">
      <c r="C212" s="31">
        <f t="shared" ca="1" si="17"/>
        <v>55.731214406308368</v>
      </c>
      <c r="D212" s="31">
        <f t="shared" ca="1" si="17"/>
        <v>107.8226243970438</v>
      </c>
      <c r="E212" s="32">
        <v>51.057420821924531</v>
      </c>
      <c r="F212" s="32">
        <v>127.50199123258659</v>
      </c>
      <c r="I212" s="17"/>
      <c r="J212" s="17"/>
      <c r="K212" s="17"/>
      <c r="L212" s="17"/>
    </row>
    <row r="213" spans="3:12" x14ac:dyDescent="0.25">
      <c r="C213" s="31">
        <f t="shared" ca="1" si="17"/>
        <v>43.352075514406394</v>
      </c>
      <c r="D213" s="31">
        <f t="shared" ca="1" si="17"/>
        <v>101.08137544470256</v>
      </c>
      <c r="E213" s="32">
        <v>55.687204887925759</v>
      </c>
      <c r="F213" s="32">
        <v>111.05147749507472</v>
      </c>
      <c r="I213" s="17"/>
      <c r="J213" s="17"/>
      <c r="K213" s="17"/>
      <c r="L213" s="17"/>
    </row>
    <row r="214" spans="3:12" x14ac:dyDescent="0.25">
      <c r="C214" s="31">
        <f t="shared" ref="C214:D233" ca="1" si="18">_xlfn.NORM.INV(RAND(),C$4,C$5)</f>
        <v>59.9644466095057</v>
      </c>
      <c r="D214" s="31">
        <f t="shared" ca="1" si="18"/>
        <v>113.35666560002274</v>
      </c>
      <c r="E214" s="32">
        <v>79.782509456628716</v>
      </c>
      <c r="F214" s="32">
        <v>132.55816532230907</v>
      </c>
      <c r="I214" s="17"/>
      <c r="J214" s="17"/>
      <c r="K214" s="17"/>
      <c r="L214" s="17"/>
    </row>
    <row r="215" spans="3:12" x14ac:dyDescent="0.25">
      <c r="C215" s="31">
        <f t="shared" ca="1" si="18"/>
        <v>60.956695922004414</v>
      </c>
      <c r="D215" s="31">
        <f t="shared" ca="1" si="18"/>
        <v>110.42135405698185</v>
      </c>
      <c r="E215" s="32">
        <v>94.018684103002016</v>
      </c>
      <c r="F215" s="32">
        <v>131.13011204026955</v>
      </c>
      <c r="I215" s="17"/>
      <c r="J215" s="17"/>
      <c r="K215" s="17"/>
      <c r="L215" s="17"/>
    </row>
    <row r="216" spans="3:12" x14ac:dyDescent="0.25">
      <c r="C216" s="31">
        <f t="shared" ca="1" si="18"/>
        <v>54.537786506525578</v>
      </c>
      <c r="D216" s="31">
        <f t="shared" ca="1" si="18"/>
        <v>97.480714818664126</v>
      </c>
      <c r="E216" s="32">
        <v>60.924076877592817</v>
      </c>
      <c r="F216" s="32">
        <v>102.34981297573587</v>
      </c>
      <c r="I216" s="17"/>
      <c r="J216" s="17"/>
      <c r="K216" s="17"/>
      <c r="L216" s="17"/>
    </row>
    <row r="217" spans="3:12" x14ac:dyDescent="0.25">
      <c r="C217" s="31">
        <f t="shared" ca="1" si="18"/>
        <v>73.818540891649349</v>
      </c>
      <c r="D217" s="31">
        <f t="shared" ca="1" si="18"/>
        <v>112.86310294414763</v>
      </c>
      <c r="E217" s="32">
        <v>79.589843586920665</v>
      </c>
      <c r="F217" s="32">
        <v>122.42087113183831</v>
      </c>
      <c r="I217" s="17"/>
      <c r="J217" s="17"/>
      <c r="K217" s="17"/>
      <c r="L217" s="17"/>
    </row>
    <row r="218" spans="3:12" x14ac:dyDescent="0.25">
      <c r="C218" s="31">
        <f t="shared" ca="1" si="18"/>
        <v>59.805581816984379</v>
      </c>
      <c r="D218" s="31">
        <f t="shared" ca="1" si="18"/>
        <v>91.470930108190203</v>
      </c>
      <c r="E218" s="32">
        <v>75.67637647813676</v>
      </c>
      <c r="F218" s="32">
        <v>112.38753919994979</v>
      </c>
      <c r="I218" s="17"/>
      <c r="J218" s="17"/>
      <c r="K218" s="17"/>
      <c r="L218" s="17"/>
    </row>
    <row r="219" spans="3:12" x14ac:dyDescent="0.25">
      <c r="C219" s="31">
        <f t="shared" ca="1" si="18"/>
        <v>70.294149786151351</v>
      </c>
      <c r="D219" s="31">
        <f t="shared" ca="1" si="18"/>
        <v>91.393077239919833</v>
      </c>
      <c r="E219" s="32">
        <v>59.629108655147903</v>
      </c>
      <c r="F219" s="32">
        <v>92.185297816199721</v>
      </c>
      <c r="I219" s="17"/>
      <c r="J219" s="17"/>
      <c r="K219" s="17"/>
      <c r="L219" s="17"/>
    </row>
    <row r="220" spans="3:12" x14ac:dyDescent="0.25">
      <c r="C220" s="31">
        <f t="shared" ca="1" si="18"/>
        <v>62.30561181389664</v>
      </c>
      <c r="D220" s="31">
        <f t="shared" ca="1" si="18"/>
        <v>108.81859079319393</v>
      </c>
      <c r="E220" s="32">
        <v>51.717868316007511</v>
      </c>
      <c r="F220" s="32">
        <v>102.75022293287594</v>
      </c>
      <c r="I220" s="17"/>
      <c r="J220" s="17"/>
      <c r="K220" s="17"/>
      <c r="L220" s="17"/>
    </row>
    <row r="221" spans="3:12" x14ac:dyDescent="0.25">
      <c r="C221" s="31">
        <f t="shared" ca="1" si="18"/>
        <v>58.162965971752861</v>
      </c>
      <c r="D221" s="31">
        <f t="shared" ca="1" si="18"/>
        <v>127.32242818055369</v>
      </c>
      <c r="E221" s="32">
        <v>54.145463494236381</v>
      </c>
      <c r="F221" s="32">
        <v>142.89824951894738</v>
      </c>
      <c r="I221" s="17"/>
      <c r="J221" s="17"/>
      <c r="K221" s="17"/>
      <c r="L221" s="17"/>
    </row>
    <row r="222" spans="3:12" x14ac:dyDescent="0.25">
      <c r="C222" s="31">
        <f t="shared" ca="1" si="18"/>
        <v>44.714347107019478</v>
      </c>
      <c r="D222" s="31">
        <f t="shared" ca="1" si="18"/>
        <v>96.187687356307833</v>
      </c>
      <c r="E222" s="32">
        <v>65.371590586032696</v>
      </c>
      <c r="F222" s="32">
        <v>119.79740314401825</v>
      </c>
      <c r="I222" s="17"/>
      <c r="J222" s="17"/>
      <c r="K222" s="17"/>
      <c r="L222" s="17"/>
    </row>
    <row r="223" spans="3:12" x14ac:dyDescent="0.25">
      <c r="C223" s="31">
        <f t="shared" ca="1" si="18"/>
        <v>56.193375227077993</v>
      </c>
      <c r="D223" s="31">
        <f t="shared" ca="1" si="18"/>
        <v>107.41008269228264</v>
      </c>
      <c r="E223" s="32">
        <v>55.789280332054155</v>
      </c>
      <c r="F223" s="32">
        <v>104.65059552044758</v>
      </c>
      <c r="I223" s="17"/>
      <c r="J223" s="17"/>
      <c r="K223" s="17"/>
      <c r="L223" s="17"/>
    </row>
    <row r="224" spans="3:12" x14ac:dyDescent="0.25">
      <c r="C224" s="31">
        <f t="shared" ca="1" si="18"/>
        <v>67.635559976144364</v>
      </c>
      <c r="D224" s="31">
        <f t="shared" ca="1" si="18"/>
        <v>122.40582480657869</v>
      </c>
      <c r="E224" s="32">
        <v>49.25089106004485</v>
      </c>
      <c r="F224" s="32">
        <v>97.207508242629984</v>
      </c>
      <c r="I224" s="17"/>
      <c r="J224" s="17"/>
      <c r="K224" s="17"/>
      <c r="L224" s="17"/>
    </row>
    <row r="225" spans="3:12" x14ac:dyDescent="0.25">
      <c r="C225" s="31">
        <f t="shared" ca="1" si="18"/>
        <v>62.382063296907745</v>
      </c>
      <c r="D225" s="31">
        <f t="shared" ca="1" si="18"/>
        <v>134.64608175819387</v>
      </c>
      <c r="E225" s="32">
        <v>67.136189541461164</v>
      </c>
      <c r="F225" s="32">
        <v>100.85929937024298</v>
      </c>
      <c r="I225" s="17"/>
      <c r="J225" s="17"/>
      <c r="K225" s="17"/>
      <c r="L225" s="17"/>
    </row>
    <row r="226" spans="3:12" x14ac:dyDescent="0.25">
      <c r="C226" s="31">
        <f t="shared" ca="1" si="18"/>
        <v>60.44119446321023</v>
      </c>
      <c r="D226" s="31">
        <f t="shared" ca="1" si="18"/>
        <v>116.4372080739835</v>
      </c>
      <c r="E226" s="32">
        <v>46.723365544951641</v>
      </c>
      <c r="F226" s="32">
        <v>139.10521247432115</v>
      </c>
      <c r="I226" s="17"/>
      <c r="J226" s="17"/>
      <c r="K226" s="17"/>
      <c r="L226" s="17"/>
    </row>
    <row r="227" spans="3:12" x14ac:dyDescent="0.25">
      <c r="C227" s="31">
        <f t="shared" ca="1" si="18"/>
        <v>59.176486848437385</v>
      </c>
      <c r="D227" s="31">
        <f t="shared" ca="1" si="18"/>
        <v>66.675770572761124</v>
      </c>
      <c r="E227" s="32">
        <v>68.543120674736485</v>
      </c>
      <c r="F227" s="32">
        <v>112.75428324070261</v>
      </c>
      <c r="I227" s="17"/>
      <c r="J227" s="17"/>
      <c r="K227" s="17"/>
      <c r="L227" s="17"/>
    </row>
    <row r="228" spans="3:12" x14ac:dyDescent="0.25">
      <c r="C228" s="31">
        <f t="shared" ca="1" si="18"/>
        <v>57.551860076200136</v>
      </c>
      <c r="D228" s="31">
        <f t="shared" ca="1" si="18"/>
        <v>124.3008409102043</v>
      </c>
      <c r="E228" s="32">
        <v>62.773106504042978</v>
      </c>
      <c r="F228" s="32">
        <v>115.15660547110303</v>
      </c>
      <c r="I228" s="17"/>
      <c r="J228" s="17"/>
      <c r="K228" s="17"/>
      <c r="L228" s="17"/>
    </row>
    <row r="229" spans="3:12" x14ac:dyDescent="0.25">
      <c r="C229" s="31">
        <f t="shared" ca="1" si="18"/>
        <v>61.253409642614599</v>
      </c>
      <c r="D229" s="31">
        <f t="shared" ca="1" si="18"/>
        <v>141.33660676308796</v>
      </c>
      <c r="E229" s="32">
        <v>66.314732601667075</v>
      </c>
      <c r="F229" s="32">
        <v>113.22080288191871</v>
      </c>
      <c r="I229" s="17"/>
      <c r="J229" s="17"/>
      <c r="K229" s="17"/>
      <c r="L229" s="17"/>
    </row>
    <row r="230" spans="3:12" x14ac:dyDescent="0.25">
      <c r="C230" s="31">
        <f t="shared" ca="1" si="18"/>
        <v>64.049853806996097</v>
      </c>
      <c r="D230" s="31">
        <f t="shared" ca="1" si="18"/>
        <v>65.773307788103011</v>
      </c>
      <c r="E230" s="32">
        <v>45.917873331133869</v>
      </c>
      <c r="F230" s="32">
        <v>102.91251621892559</v>
      </c>
      <c r="I230" s="17"/>
      <c r="J230" s="17"/>
      <c r="K230" s="17"/>
      <c r="L230" s="17"/>
    </row>
    <row r="231" spans="3:12" x14ac:dyDescent="0.25">
      <c r="C231" s="31">
        <f t="shared" ca="1" si="18"/>
        <v>56.478372755269341</v>
      </c>
      <c r="D231" s="31">
        <f t="shared" ca="1" si="18"/>
        <v>100.02123231747517</v>
      </c>
      <c r="E231" s="32">
        <v>44.816682085891173</v>
      </c>
      <c r="F231" s="32">
        <v>91.227398942812769</v>
      </c>
      <c r="I231" s="17"/>
      <c r="J231" s="17"/>
      <c r="K231" s="17"/>
      <c r="L231" s="17"/>
    </row>
    <row r="232" spans="3:12" x14ac:dyDescent="0.25">
      <c r="C232" s="31">
        <f t="shared" ca="1" si="18"/>
        <v>62.417633806716061</v>
      </c>
      <c r="D232" s="31">
        <f t="shared" ca="1" si="18"/>
        <v>147.27073447548068</v>
      </c>
      <c r="E232" s="32">
        <v>49.460449179140888</v>
      </c>
      <c r="F232" s="32">
        <v>112.886197035389</v>
      </c>
      <c r="I232" s="17"/>
      <c r="J232" s="17"/>
      <c r="K232" s="17"/>
      <c r="L232" s="17"/>
    </row>
    <row r="233" spans="3:12" x14ac:dyDescent="0.25">
      <c r="C233" s="31">
        <f t="shared" ca="1" si="18"/>
        <v>55.394029079769339</v>
      </c>
      <c r="D233" s="31">
        <f t="shared" ca="1" si="18"/>
        <v>102.2801667364905</v>
      </c>
      <c r="E233" s="32">
        <v>57.590550630761214</v>
      </c>
      <c r="F233" s="32">
        <v>102.56030466834501</v>
      </c>
      <c r="I233" s="17"/>
      <c r="J233" s="17"/>
      <c r="K233" s="17"/>
      <c r="L233" s="17"/>
    </row>
    <row r="234" spans="3:12" x14ac:dyDescent="0.25">
      <c r="C234" s="31">
        <f t="shared" ref="C234:D253" ca="1" si="19">_xlfn.NORM.INV(RAND(),C$4,C$5)</f>
        <v>78.40681993689708</v>
      </c>
      <c r="D234" s="31">
        <f t="shared" ca="1" si="19"/>
        <v>86.455603683685496</v>
      </c>
      <c r="E234" s="32">
        <v>43.417955708445163</v>
      </c>
      <c r="F234" s="32">
        <v>104.79891937128855</v>
      </c>
      <c r="I234" s="17"/>
      <c r="J234" s="17"/>
      <c r="K234" s="17"/>
      <c r="L234" s="17"/>
    </row>
    <row r="235" spans="3:12" x14ac:dyDescent="0.25">
      <c r="C235" s="31">
        <f t="shared" ca="1" si="19"/>
        <v>62.64408433320807</v>
      </c>
      <c r="D235" s="31">
        <f t="shared" ca="1" si="19"/>
        <v>101.84538102430648</v>
      </c>
      <c r="E235" s="32">
        <v>60.397230922451541</v>
      </c>
      <c r="F235" s="32">
        <v>109.09458514136962</v>
      </c>
      <c r="I235" s="17"/>
      <c r="J235" s="17"/>
      <c r="K235" s="17"/>
      <c r="L235" s="17"/>
    </row>
    <row r="236" spans="3:12" x14ac:dyDescent="0.25">
      <c r="C236" s="31">
        <f t="shared" ca="1" si="19"/>
        <v>60.661413111983798</v>
      </c>
      <c r="D236" s="31">
        <f t="shared" ca="1" si="19"/>
        <v>136.46659981234779</v>
      </c>
      <c r="E236" s="32">
        <v>52.988262923449298</v>
      </c>
      <c r="F236" s="32">
        <v>136.11882580682331</v>
      </c>
      <c r="I236" s="17"/>
      <c r="J236" s="17"/>
      <c r="K236" s="17"/>
      <c r="L236" s="17"/>
    </row>
    <row r="237" spans="3:12" x14ac:dyDescent="0.25">
      <c r="C237" s="31">
        <f t="shared" ca="1" si="19"/>
        <v>64.799869909273397</v>
      </c>
      <c r="D237" s="31">
        <f t="shared" ca="1" si="19"/>
        <v>93.119518128163122</v>
      </c>
      <c r="E237" s="32">
        <v>85.941255253318303</v>
      </c>
      <c r="F237" s="32">
        <v>118.76790806742414</v>
      </c>
      <c r="I237" s="17"/>
      <c r="J237" s="17"/>
      <c r="K237" s="17"/>
      <c r="L237" s="17"/>
    </row>
    <row r="238" spans="3:12" x14ac:dyDescent="0.25">
      <c r="C238" s="31">
        <f t="shared" ca="1" si="19"/>
        <v>62.886794797053085</v>
      </c>
      <c r="D238" s="31">
        <f t="shared" ca="1" si="19"/>
        <v>129.4548676121108</v>
      </c>
      <c r="E238" s="32">
        <v>81.698030948717502</v>
      </c>
      <c r="F238" s="32">
        <v>148.88291501169263</v>
      </c>
      <c r="I238" s="17"/>
      <c r="J238" s="17"/>
      <c r="K238" s="17"/>
      <c r="L238" s="17"/>
    </row>
    <row r="239" spans="3:12" x14ac:dyDescent="0.25">
      <c r="C239" s="31">
        <f t="shared" ca="1" si="19"/>
        <v>51.200936930137885</v>
      </c>
      <c r="D239" s="31">
        <f t="shared" ca="1" si="19"/>
        <v>108.50823390820308</v>
      </c>
      <c r="E239" s="32">
        <v>61.391844812157608</v>
      </c>
      <c r="F239" s="32">
        <v>90.33525681900619</v>
      </c>
      <c r="I239" s="17"/>
      <c r="J239" s="17"/>
      <c r="K239" s="17"/>
      <c r="L239" s="17"/>
    </row>
    <row r="240" spans="3:12" x14ac:dyDescent="0.25">
      <c r="C240" s="31">
        <f t="shared" ca="1" si="19"/>
        <v>54.17118149970441</v>
      </c>
      <c r="D240" s="31">
        <f t="shared" ca="1" si="19"/>
        <v>128.7670712075907</v>
      </c>
      <c r="E240" s="32">
        <v>59.158058504263664</v>
      </c>
      <c r="F240" s="32">
        <v>133.49960806325646</v>
      </c>
      <c r="I240" s="17"/>
      <c r="J240" s="17"/>
      <c r="K240" s="17"/>
      <c r="L240" s="17"/>
    </row>
    <row r="241" spans="3:12" x14ac:dyDescent="0.25">
      <c r="C241" s="31">
        <f t="shared" ca="1" si="19"/>
        <v>63.316574695329322</v>
      </c>
      <c r="D241" s="31">
        <f t="shared" ca="1" si="19"/>
        <v>95.94603859707253</v>
      </c>
      <c r="E241" s="32">
        <v>57.377886847378917</v>
      </c>
      <c r="F241" s="32">
        <v>112.06768124056929</v>
      </c>
      <c r="I241" s="17"/>
      <c r="J241" s="17"/>
      <c r="K241" s="17"/>
      <c r="L241" s="17"/>
    </row>
    <row r="242" spans="3:12" x14ac:dyDescent="0.25">
      <c r="C242" s="31">
        <f t="shared" ca="1" si="19"/>
        <v>49.280786605860882</v>
      </c>
      <c r="D242" s="31">
        <f t="shared" ca="1" si="19"/>
        <v>108.8553508204222</v>
      </c>
      <c r="E242" s="32">
        <v>65.583418777432613</v>
      </c>
      <c r="F242" s="32">
        <v>100.16921336114184</v>
      </c>
      <c r="I242" s="17"/>
      <c r="J242" s="17"/>
      <c r="K242" s="17"/>
      <c r="L242" s="17"/>
    </row>
    <row r="243" spans="3:12" x14ac:dyDescent="0.25">
      <c r="C243" s="31">
        <f t="shared" ca="1" si="19"/>
        <v>74.534388358446733</v>
      </c>
      <c r="D243" s="31">
        <f t="shared" ca="1" si="19"/>
        <v>75.255645416173266</v>
      </c>
      <c r="E243" s="32">
        <v>55.090989772634948</v>
      </c>
      <c r="F243" s="32">
        <v>102.72862106595655</v>
      </c>
      <c r="I243" s="17"/>
      <c r="J243" s="17"/>
      <c r="K243" s="17"/>
      <c r="L243" s="17"/>
    </row>
    <row r="244" spans="3:12" x14ac:dyDescent="0.25">
      <c r="C244" s="31">
        <f t="shared" ca="1" si="19"/>
        <v>51.771572648325183</v>
      </c>
      <c r="D244" s="31">
        <f t="shared" ca="1" si="19"/>
        <v>101.99916970460526</v>
      </c>
      <c r="E244" s="32">
        <v>59.87437981048275</v>
      </c>
      <c r="F244" s="32">
        <v>84.136228810668328</v>
      </c>
      <c r="I244" s="17"/>
      <c r="J244" s="17"/>
      <c r="K244" s="17"/>
      <c r="L244" s="17"/>
    </row>
    <row r="245" spans="3:12" x14ac:dyDescent="0.25">
      <c r="C245" s="31">
        <f t="shared" ca="1" si="19"/>
        <v>64.301692353827747</v>
      </c>
      <c r="D245" s="31">
        <f t="shared" ca="1" si="19"/>
        <v>104.20257929857254</v>
      </c>
      <c r="E245" s="32">
        <v>58.890495822880112</v>
      </c>
      <c r="F245" s="32">
        <v>100.85360674702885</v>
      </c>
      <c r="I245" s="17"/>
      <c r="J245" s="17"/>
      <c r="K245" s="17"/>
      <c r="L245" s="17"/>
    </row>
    <row r="246" spans="3:12" x14ac:dyDescent="0.25">
      <c r="C246" s="31">
        <f t="shared" ca="1" si="19"/>
        <v>64.768173932909008</v>
      </c>
      <c r="D246" s="31">
        <f t="shared" ca="1" si="19"/>
        <v>105.90548886184371</v>
      </c>
      <c r="E246" s="32">
        <v>45.904335676238318</v>
      </c>
      <c r="F246" s="32">
        <v>102.71346444529925</v>
      </c>
      <c r="I246" s="17"/>
      <c r="J246" s="17"/>
      <c r="K246" s="17"/>
      <c r="L246" s="17"/>
    </row>
    <row r="247" spans="3:12" x14ac:dyDescent="0.25">
      <c r="C247" s="31">
        <f t="shared" ca="1" si="19"/>
        <v>65.930534658247566</v>
      </c>
      <c r="D247" s="31">
        <f t="shared" ca="1" si="19"/>
        <v>140.40865647057615</v>
      </c>
      <c r="E247" s="32">
        <v>56.164618150828431</v>
      </c>
      <c r="F247" s="32">
        <v>107.86463148292256</v>
      </c>
      <c r="I247" s="17"/>
      <c r="J247" s="17"/>
      <c r="K247" s="17"/>
      <c r="L247" s="17"/>
    </row>
    <row r="248" spans="3:12" x14ac:dyDescent="0.25">
      <c r="C248" s="31">
        <f t="shared" ca="1" si="19"/>
        <v>45.802263413771271</v>
      </c>
      <c r="D248" s="31">
        <f t="shared" ca="1" si="19"/>
        <v>123.95098802829654</v>
      </c>
      <c r="E248" s="32">
        <v>54.914391329876331</v>
      </c>
      <c r="F248" s="32">
        <v>121.60596401119309</v>
      </c>
      <c r="I248" s="17"/>
      <c r="J248" s="17"/>
      <c r="K248" s="17"/>
      <c r="L248" s="17"/>
    </row>
    <row r="249" spans="3:12" x14ac:dyDescent="0.25">
      <c r="C249" s="31">
        <f t="shared" ca="1" si="19"/>
        <v>77.850301003705169</v>
      </c>
      <c r="D249" s="31">
        <f t="shared" ca="1" si="19"/>
        <v>122.53416459211431</v>
      </c>
      <c r="E249" s="32">
        <v>72.004180415304347</v>
      </c>
      <c r="F249" s="32">
        <v>100.05570452612147</v>
      </c>
      <c r="I249" s="17"/>
      <c r="J249" s="17"/>
      <c r="K249" s="17"/>
      <c r="L249" s="17"/>
    </row>
    <row r="250" spans="3:12" x14ac:dyDescent="0.25">
      <c r="C250" s="31">
        <f t="shared" ca="1" si="19"/>
        <v>67.928216530943857</v>
      </c>
      <c r="D250" s="31">
        <f t="shared" ca="1" si="19"/>
        <v>121.00853136912048</v>
      </c>
      <c r="E250" s="32">
        <v>54.993992807277557</v>
      </c>
      <c r="F250" s="32">
        <v>113.12526425518666</v>
      </c>
      <c r="I250" s="17"/>
      <c r="J250" s="17"/>
      <c r="K250" s="17"/>
      <c r="L250" s="17"/>
    </row>
    <row r="251" spans="3:12" x14ac:dyDescent="0.25">
      <c r="C251" s="31">
        <f t="shared" ca="1" si="19"/>
        <v>65.818096095502099</v>
      </c>
      <c r="D251" s="31">
        <f t="shared" ca="1" si="19"/>
        <v>80.296523622349497</v>
      </c>
      <c r="E251" s="32">
        <v>54.703051687239835</v>
      </c>
      <c r="F251" s="32">
        <v>126.0855579074564</v>
      </c>
      <c r="I251" s="17"/>
      <c r="J251" s="17"/>
      <c r="K251" s="17"/>
      <c r="L251" s="17"/>
    </row>
    <row r="252" spans="3:12" x14ac:dyDescent="0.25">
      <c r="C252" s="31">
        <f t="shared" ca="1" si="19"/>
        <v>67.860155733979738</v>
      </c>
      <c r="D252" s="31">
        <f t="shared" ca="1" si="19"/>
        <v>113.86814403000675</v>
      </c>
      <c r="E252" s="32">
        <v>55.440195487033591</v>
      </c>
      <c r="F252" s="32">
        <v>115.38606707554354</v>
      </c>
      <c r="I252" s="17"/>
      <c r="J252" s="17"/>
      <c r="K252" s="17"/>
      <c r="L252" s="17"/>
    </row>
    <row r="253" spans="3:12" x14ac:dyDescent="0.25">
      <c r="C253" s="31">
        <f t="shared" ca="1" si="19"/>
        <v>41.25883345554935</v>
      </c>
      <c r="D253" s="31">
        <f t="shared" ca="1" si="19"/>
        <v>126.07199904115109</v>
      </c>
      <c r="E253" s="32">
        <v>63.395145428104414</v>
      </c>
      <c r="F253" s="32">
        <v>100.26254502585915</v>
      </c>
      <c r="I253" s="17"/>
      <c r="J253" s="17"/>
      <c r="K253" s="17"/>
      <c r="L253" s="17"/>
    </row>
    <row r="254" spans="3:12" x14ac:dyDescent="0.25">
      <c r="C254" s="31">
        <f t="shared" ref="C254:D273" ca="1" si="20">_xlfn.NORM.INV(RAND(),C$4,C$5)</f>
        <v>59.595288292693155</v>
      </c>
      <c r="D254" s="31">
        <f t="shared" ca="1" si="20"/>
        <v>95.151553563822887</v>
      </c>
      <c r="E254" s="32">
        <v>65.495712705192318</v>
      </c>
      <c r="F254" s="32">
        <v>121.1840584124526</v>
      </c>
      <c r="I254" s="17"/>
      <c r="J254" s="17"/>
      <c r="K254" s="17"/>
      <c r="L254" s="17"/>
    </row>
    <row r="255" spans="3:12" x14ac:dyDescent="0.25">
      <c r="C255" s="31">
        <f t="shared" ca="1" si="20"/>
        <v>53.120858055853759</v>
      </c>
      <c r="D255" s="31">
        <f t="shared" ca="1" si="20"/>
        <v>125.19788073797403</v>
      </c>
      <c r="E255" s="32">
        <v>69.065519451289504</v>
      </c>
      <c r="F255" s="32">
        <v>122.77806499612609</v>
      </c>
      <c r="I255" s="17"/>
      <c r="J255" s="17"/>
      <c r="K255" s="17"/>
      <c r="L255" s="17"/>
    </row>
    <row r="256" spans="3:12" x14ac:dyDescent="0.25">
      <c r="C256" s="31">
        <f t="shared" ca="1" si="20"/>
        <v>65.675647058996162</v>
      </c>
      <c r="D256" s="31">
        <f t="shared" ca="1" si="20"/>
        <v>84.06423285375368</v>
      </c>
      <c r="E256" s="32">
        <v>47.122922096603261</v>
      </c>
      <c r="F256" s="32">
        <v>113.29194117469682</v>
      </c>
      <c r="I256" s="17"/>
      <c r="J256" s="17"/>
      <c r="K256" s="17"/>
      <c r="L256" s="17"/>
    </row>
    <row r="257" spans="3:12" x14ac:dyDescent="0.25">
      <c r="C257" s="31">
        <f t="shared" ca="1" si="20"/>
        <v>49.142090278014862</v>
      </c>
      <c r="D257" s="31">
        <f t="shared" ca="1" si="20"/>
        <v>100.88483423302451</v>
      </c>
      <c r="E257" s="32">
        <v>79.897446728820029</v>
      </c>
      <c r="F257" s="32">
        <v>124.41223800708984</v>
      </c>
      <c r="I257" s="17"/>
      <c r="J257" s="17"/>
      <c r="K257" s="17"/>
      <c r="L257" s="17"/>
    </row>
    <row r="258" spans="3:12" x14ac:dyDescent="0.25">
      <c r="C258" s="31">
        <f t="shared" ca="1" si="20"/>
        <v>49.812697438040132</v>
      </c>
      <c r="D258" s="31">
        <f t="shared" ca="1" si="20"/>
        <v>119.6703064231301</v>
      </c>
      <c r="E258" s="32">
        <v>62.161818428566747</v>
      </c>
      <c r="F258" s="32">
        <v>94.087901259558365</v>
      </c>
      <c r="I258" s="17"/>
      <c r="J258" s="17"/>
      <c r="K258" s="17"/>
      <c r="L258" s="17"/>
    </row>
    <row r="259" spans="3:12" x14ac:dyDescent="0.25">
      <c r="C259" s="31">
        <f t="shared" ca="1" si="20"/>
        <v>48.085908102498514</v>
      </c>
      <c r="D259" s="31">
        <f t="shared" ca="1" si="20"/>
        <v>128.27211929921907</v>
      </c>
      <c r="E259" s="32">
        <v>67.997845799099721</v>
      </c>
      <c r="F259" s="32">
        <v>126.05314442884614</v>
      </c>
      <c r="I259" s="17"/>
      <c r="J259" s="17"/>
      <c r="K259" s="17"/>
      <c r="L259" s="17"/>
    </row>
    <row r="260" spans="3:12" x14ac:dyDescent="0.25">
      <c r="C260" s="31">
        <f t="shared" ca="1" si="20"/>
        <v>52.618030799467803</v>
      </c>
      <c r="D260" s="31">
        <f t="shared" ca="1" si="20"/>
        <v>150.22530145864397</v>
      </c>
      <c r="E260" s="32">
        <v>51.350496340352692</v>
      </c>
      <c r="F260" s="32">
        <v>102.26119402698414</v>
      </c>
      <c r="I260" s="17"/>
      <c r="J260" s="17"/>
      <c r="K260" s="17"/>
      <c r="L260" s="17"/>
    </row>
    <row r="261" spans="3:12" x14ac:dyDescent="0.25">
      <c r="C261" s="31">
        <f t="shared" ca="1" si="20"/>
        <v>51.826524607794966</v>
      </c>
      <c r="D261" s="31">
        <f t="shared" ca="1" si="20"/>
        <v>78.701467215124552</v>
      </c>
      <c r="E261" s="32">
        <v>69.267244173708789</v>
      </c>
      <c r="F261" s="32">
        <v>96.50294080935609</v>
      </c>
      <c r="I261" s="17"/>
      <c r="J261" s="17"/>
      <c r="K261" s="17"/>
      <c r="L261" s="17"/>
    </row>
    <row r="262" spans="3:12" x14ac:dyDescent="0.25">
      <c r="C262" s="31">
        <f t="shared" ca="1" si="20"/>
        <v>48.030240274448815</v>
      </c>
      <c r="D262" s="31">
        <f t="shared" ca="1" si="20"/>
        <v>123.3912712087062</v>
      </c>
      <c r="E262" s="32">
        <v>67.896726098396925</v>
      </c>
      <c r="F262" s="32">
        <v>87.791034988236575</v>
      </c>
      <c r="I262" s="17"/>
      <c r="J262" s="17"/>
      <c r="K262" s="17"/>
      <c r="L262" s="17"/>
    </row>
    <row r="263" spans="3:12" x14ac:dyDescent="0.25">
      <c r="C263" s="31">
        <f t="shared" ca="1" si="20"/>
        <v>75.679849024920401</v>
      </c>
      <c r="D263" s="31">
        <f t="shared" ca="1" si="20"/>
        <v>126.04129977446311</v>
      </c>
      <c r="E263" s="32">
        <v>59.231801061548367</v>
      </c>
      <c r="F263" s="32">
        <v>104.03793221567747</v>
      </c>
      <c r="I263" s="17"/>
      <c r="J263" s="17"/>
      <c r="K263" s="17"/>
      <c r="L263" s="17"/>
    </row>
    <row r="264" spans="3:12" x14ac:dyDescent="0.25">
      <c r="C264" s="31">
        <f t="shared" ca="1" si="20"/>
        <v>60.8799872666347</v>
      </c>
      <c r="D264" s="31">
        <f t="shared" ca="1" si="20"/>
        <v>142.33642205850055</v>
      </c>
      <c r="E264" s="32">
        <v>69.398239593832471</v>
      </c>
      <c r="F264" s="32">
        <v>107.97626239408838</v>
      </c>
      <c r="I264" s="17"/>
      <c r="J264" s="17"/>
      <c r="K264" s="17"/>
      <c r="L264" s="17"/>
    </row>
    <row r="265" spans="3:12" x14ac:dyDescent="0.25">
      <c r="C265" s="31">
        <f t="shared" ca="1" si="20"/>
        <v>66.106475213470404</v>
      </c>
      <c r="D265" s="31">
        <f t="shared" ca="1" si="20"/>
        <v>120.52231113138987</v>
      </c>
      <c r="E265" s="32">
        <v>41.324532908953437</v>
      </c>
      <c r="F265" s="32">
        <v>99.302827462267942</v>
      </c>
      <c r="I265" s="17"/>
      <c r="J265" s="17"/>
      <c r="K265" s="17"/>
      <c r="L265" s="17"/>
    </row>
    <row r="266" spans="3:12" x14ac:dyDescent="0.25">
      <c r="C266" s="31">
        <f t="shared" ca="1" si="20"/>
        <v>65.108619868796382</v>
      </c>
      <c r="D266" s="31">
        <f t="shared" ca="1" si="20"/>
        <v>86.393682533181135</v>
      </c>
      <c r="E266" s="32">
        <v>54.369052390306592</v>
      </c>
      <c r="F266" s="32">
        <v>114.75429575508966</v>
      </c>
      <c r="I266" s="17"/>
      <c r="J266" s="17"/>
      <c r="K266" s="17"/>
      <c r="L266" s="17"/>
    </row>
    <row r="267" spans="3:12" x14ac:dyDescent="0.25">
      <c r="C267" s="31">
        <f t="shared" ca="1" si="20"/>
        <v>57.759128018634655</v>
      </c>
      <c r="D267" s="31">
        <f t="shared" ca="1" si="20"/>
        <v>98.427699039220528</v>
      </c>
      <c r="E267" s="32">
        <v>66.166232423967159</v>
      </c>
      <c r="F267" s="32">
        <v>145.59413526960313</v>
      </c>
      <c r="I267" s="17"/>
      <c r="J267" s="17"/>
      <c r="K267" s="17"/>
      <c r="L267" s="17"/>
    </row>
    <row r="268" spans="3:12" x14ac:dyDescent="0.25">
      <c r="C268" s="31">
        <f t="shared" ca="1" si="20"/>
        <v>55.504128787947224</v>
      </c>
      <c r="D268" s="31">
        <f t="shared" ca="1" si="20"/>
        <v>120.83997831941869</v>
      </c>
      <c r="E268" s="32">
        <v>66.564092727674634</v>
      </c>
      <c r="F268" s="32">
        <v>122.72448318566649</v>
      </c>
      <c r="I268" s="17"/>
      <c r="J268" s="17"/>
      <c r="K268" s="17"/>
      <c r="L268" s="17"/>
    </row>
    <row r="269" spans="3:12" x14ac:dyDescent="0.25">
      <c r="C269" s="31">
        <f t="shared" ca="1" si="20"/>
        <v>61.032702343165411</v>
      </c>
      <c r="D269" s="31">
        <f t="shared" ca="1" si="20"/>
        <v>119.25000378111419</v>
      </c>
      <c r="E269" s="32">
        <v>56.715619133809746</v>
      </c>
      <c r="F269" s="32">
        <v>168.87989180028637</v>
      </c>
      <c r="I269" s="17"/>
      <c r="J269" s="17"/>
      <c r="K269" s="17"/>
      <c r="L269" s="17"/>
    </row>
    <row r="270" spans="3:12" x14ac:dyDescent="0.25">
      <c r="C270" s="31">
        <f t="shared" ca="1" si="20"/>
        <v>46.27228370867202</v>
      </c>
      <c r="D270" s="31">
        <f t="shared" ca="1" si="20"/>
        <v>115.8609626299739</v>
      </c>
      <c r="E270" s="32">
        <v>55.355956947664062</v>
      </c>
      <c r="F270" s="32">
        <v>115.3290185324215</v>
      </c>
      <c r="I270" s="17"/>
      <c r="J270" s="17"/>
      <c r="K270" s="17"/>
      <c r="L270" s="17"/>
    </row>
    <row r="271" spans="3:12" x14ac:dyDescent="0.25">
      <c r="C271" s="31">
        <f t="shared" ca="1" si="20"/>
        <v>45.67511257470111</v>
      </c>
      <c r="D271" s="31">
        <f t="shared" ca="1" si="20"/>
        <v>103.35968814093292</v>
      </c>
      <c r="E271" s="32">
        <v>53.146444908982033</v>
      </c>
      <c r="F271" s="32">
        <v>129.80365126030148</v>
      </c>
      <c r="I271" s="17"/>
      <c r="J271" s="17"/>
      <c r="K271" s="17"/>
      <c r="L271" s="17"/>
    </row>
    <row r="272" spans="3:12" x14ac:dyDescent="0.25">
      <c r="C272" s="31">
        <f t="shared" ca="1" si="20"/>
        <v>68.73403011786678</v>
      </c>
      <c r="D272" s="31">
        <f t="shared" ca="1" si="20"/>
        <v>110.88077958283571</v>
      </c>
      <c r="E272" s="32">
        <v>58.267234805200005</v>
      </c>
      <c r="F272" s="32">
        <v>90.136692023758329</v>
      </c>
      <c r="I272" s="17"/>
      <c r="J272" s="17"/>
      <c r="K272" s="17"/>
      <c r="L272" s="17"/>
    </row>
    <row r="273" spans="3:12" x14ac:dyDescent="0.25">
      <c r="C273" s="31">
        <f t="shared" ca="1" si="20"/>
        <v>50.348548311161224</v>
      </c>
      <c r="D273" s="31">
        <f t="shared" ca="1" si="20"/>
        <v>121.95390457868896</v>
      </c>
      <c r="E273" s="32">
        <v>57.893123301652516</v>
      </c>
      <c r="F273" s="32">
        <v>142.43982826521244</v>
      </c>
      <c r="I273" s="17"/>
      <c r="J273" s="17"/>
      <c r="K273" s="17"/>
      <c r="L273" s="17"/>
    </row>
    <row r="274" spans="3:12" x14ac:dyDescent="0.25">
      <c r="C274" s="31">
        <f t="shared" ref="C274:D293" ca="1" si="21">_xlfn.NORM.INV(RAND(),C$4,C$5)</f>
        <v>63.450095742271898</v>
      </c>
      <c r="D274" s="31">
        <f t="shared" ca="1" si="21"/>
        <v>153.27796465056355</v>
      </c>
      <c r="E274" s="32">
        <v>78.797349150864662</v>
      </c>
      <c r="F274" s="32">
        <v>149.76711990693616</v>
      </c>
      <c r="I274" s="17"/>
      <c r="J274" s="17"/>
      <c r="K274" s="17"/>
      <c r="L274" s="17"/>
    </row>
    <row r="275" spans="3:12" x14ac:dyDescent="0.25">
      <c r="C275" s="31">
        <f t="shared" ca="1" si="21"/>
        <v>46.688795169844362</v>
      </c>
      <c r="D275" s="31">
        <f t="shared" ca="1" si="21"/>
        <v>158.64349434974369</v>
      </c>
      <c r="E275" s="32">
        <v>46.112906302255418</v>
      </c>
      <c r="F275" s="32">
        <v>91.132251901960046</v>
      </c>
      <c r="I275" s="17"/>
      <c r="J275" s="17"/>
      <c r="K275" s="17"/>
      <c r="L275" s="17"/>
    </row>
    <row r="276" spans="3:12" x14ac:dyDescent="0.25">
      <c r="C276" s="31">
        <f t="shared" ca="1" si="21"/>
        <v>56.01041359141302</v>
      </c>
      <c r="D276" s="31">
        <f t="shared" ca="1" si="21"/>
        <v>121.89497516204391</v>
      </c>
      <c r="E276" s="32">
        <v>72.096725921875901</v>
      </c>
      <c r="F276" s="32">
        <v>149.42924046803449</v>
      </c>
      <c r="I276" s="17"/>
      <c r="J276" s="17"/>
      <c r="K276" s="17"/>
      <c r="L276" s="17"/>
    </row>
    <row r="277" spans="3:12" x14ac:dyDescent="0.25">
      <c r="C277" s="31">
        <f t="shared" ca="1" si="21"/>
        <v>66.797375578891135</v>
      </c>
      <c r="D277" s="31">
        <f t="shared" ca="1" si="21"/>
        <v>127.77082068076868</v>
      </c>
      <c r="E277" s="32">
        <v>57.276372648739205</v>
      </c>
      <c r="F277" s="32">
        <v>110.78607314568023</v>
      </c>
      <c r="I277" s="17"/>
      <c r="J277" s="17"/>
      <c r="K277" s="17"/>
      <c r="L277" s="17"/>
    </row>
    <row r="278" spans="3:12" x14ac:dyDescent="0.25">
      <c r="C278" s="31">
        <f t="shared" ca="1" si="21"/>
        <v>51.349368797800039</v>
      </c>
      <c r="D278" s="31">
        <f t="shared" ca="1" si="21"/>
        <v>117.53237607573041</v>
      </c>
      <c r="E278" s="32">
        <v>60.454451537828866</v>
      </c>
      <c r="F278" s="32">
        <v>134.57575596912207</v>
      </c>
      <c r="I278" s="17"/>
      <c r="J278" s="17"/>
      <c r="K278" s="17"/>
      <c r="L278" s="17"/>
    </row>
    <row r="279" spans="3:12" x14ac:dyDescent="0.25">
      <c r="C279" s="31">
        <f t="shared" ca="1" si="21"/>
        <v>66.441993035116838</v>
      </c>
      <c r="D279" s="31">
        <f t="shared" ca="1" si="21"/>
        <v>121.46755265790217</v>
      </c>
      <c r="E279" s="32">
        <v>62.079966225871054</v>
      </c>
      <c r="F279" s="32">
        <v>91.672476744195777</v>
      </c>
      <c r="I279" s="17"/>
      <c r="J279" s="17"/>
      <c r="K279" s="17"/>
      <c r="L279" s="17"/>
    </row>
    <row r="280" spans="3:12" x14ac:dyDescent="0.25">
      <c r="C280" s="31">
        <f t="shared" ca="1" si="21"/>
        <v>69.523176517542595</v>
      </c>
      <c r="D280" s="31">
        <f t="shared" ca="1" si="21"/>
        <v>118.19183119902543</v>
      </c>
      <c r="E280" s="32">
        <v>56.840435655474565</v>
      </c>
      <c r="F280" s="32">
        <v>133.51338144925325</v>
      </c>
      <c r="I280" s="17"/>
      <c r="J280" s="17"/>
      <c r="K280" s="17"/>
      <c r="L280" s="17"/>
    </row>
    <row r="281" spans="3:12" x14ac:dyDescent="0.25">
      <c r="C281" s="31">
        <f t="shared" ca="1" si="21"/>
        <v>76.709703411941774</v>
      </c>
      <c r="D281" s="31">
        <f t="shared" ca="1" si="21"/>
        <v>133.07436682941434</v>
      </c>
      <c r="E281" s="32">
        <v>51.757638626629905</v>
      </c>
      <c r="F281" s="32">
        <v>86.330910630726379</v>
      </c>
      <c r="I281" s="17"/>
      <c r="J281" s="17"/>
      <c r="K281" s="17"/>
      <c r="L281" s="17"/>
    </row>
    <row r="282" spans="3:12" x14ac:dyDescent="0.25">
      <c r="C282" s="31">
        <f t="shared" ca="1" si="21"/>
        <v>36.415949483430268</v>
      </c>
      <c r="D282" s="31">
        <f t="shared" ca="1" si="21"/>
        <v>152.15259236860823</v>
      </c>
      <c r="E282" s="32">
        <v>68.799586292977168</v>
      </c>
      <c r="F282" s="32">
        <v>127.31622109155911</v>
      </c>
      <c r="I282" s="17"/>
      <c r="J282" s="17"/>
      <c r="K282" s="17"/>
      <c r="L282" s="17"/>
    </row>
    <row r="283" spans="3:12" x14ac:dyDescent="0.25">
      <c r="C283" s="31">
        <f t="shared" ca="1" si="21"/>
        <v>71.197510530007278</v>
      </c>
      <c r="D283" s="31">
        <f t="shared" ca="1" si="21"/>
        <v>100.19093726255912</v>
      </c>
      <c r="E283" s="32">
        <v>68.543655440482041</v>
      </c>
      <c r="F283" s="32">
        <v>80.809502750580151</v>
      </c>
      <c r="I283" s="17"/>
      <c r="J283" s="17"/>
      <c r="K283" s="17"/>
      <c r="L283" s="17"/>
    </row>
    <row r="284" spans="3:12" x14ac:dyDescent="0.25">
      <c r="C284" s="31">
        <f t="shared" ca="1" si="21"/>
        <v>70.469256865573726</v>
      </c>
      <c r="D284" s="31">
        <f t="shared" ca="1" si="21"/>
        <v>83.883836383463517</v>
      </c>
      <c r="E284" s="32">
        <v>52.549534243283802</v>
      </c>
      <c r="F284" s="32">
        <v>84.874893252644824</v>
      </c>
      <c r="I284" s="17"/>
      <c r="J284" s="17"/>
      <c r="K284" s="17"/>
      <c r="L284" s="17"/>
    </row>
    <row r="285" spans="3:12" x14ac:dyDescent="0.25">
      <c r="C285" s="31">
        <f t="shared" ca="1" si="21"/>
        <v>64.89794984129631</v>
      </c>
      <c r="D285" s="31">
        <f t="shared" ca="1" si="21"/>
        <v>96.234197968495891</v>
      </c>
      <c r="E285" s="32">
        <v>67.824006532977194</v>
      </c>
      <c r="F285" s="32">
        <v>89.280738555827668</v>
      </c>
      <c r="I285" s="17"/>
      <c r="J285" s="17"/>
      <c r="K285" s="17"/>
      <c r="L285" s="17"/>
    </row>
    <row r="286" spans="3:12" x14ac:dyDescent="0.25">
      <c r="C286" s="31">
        <f t="shared" ca="1" si="21"/>
        <v>63.584388406322667</v>
      </c>
      <c r="D286" s="31">
        <f t="shared" ca="1" si="21"/>
        <v>132.92170218964358</v>
      </c>
      <c r="E286" s="32">
        <v>65.966372254844984</v>
      </c>
      <c r="F286" s="32">
        <v>123.12785416295357</v>
      </c>
      <c r="I286" s="17"/>
      <c r="J286" s="17"/>
      <c r="K286" s="17"/>
      <c r="L286" s="17"/>
    </row>
    <row r="287" spans="3:12" x14ac:dyDescent="0.25">
      <c r="C287" s="31">
        <f t="shared" ca="1" si="21"/>
        <v>64.593517233216289</v>
      </c>
      <c r="D287" s="31">
        <f t="shared" ca="1" si="21"/>
        <v>92.694798235375657</v>
      </c>
      <c r="E287" s="32">
        <v>74.710604789745105</v>
      </c>
      <c r="F287" s="32">
        <v>92.668475019034361</v>
      </c>
      <c r="I287" s="17"/>
      <c r="J287" s="17"/>
      <c r="K287" s="17"/>
      <c r="L287" s="17"/>
    </row>
    <row r="288" spans="3:12" x14ac:dyDescent="0.25">
      <c r="C288" s="31">
        <f t="shared" ca="1" si="21"/>
        <v>56.586177597678706</v>
      </c>
      <c r="D288" s="31">
        <f t="shared" ca="1" si="21"/>
        <v>154.50874315422544</v>
      </c>
      <c r="E288" s="32">
        <v>44.631485443344332</v>
      </c>
      <c r="F288" s="32">
        <v>82.302041924710167</v>
      </c>
      <c r="I288" s="17"/>
      <c r="J288" s="17"/>
      <c r="K288" s="17"/>
      <c r="L288" s="17"/>
    </row>
    <row r="289" spans="3:12" x14ac:dyDescent="0.25">
      <c r="C289" s="31">
        <f t="shared" ca="1" si="21"/>
        <v>65.645579548575796</v>
      </c>
      <c r="D289" s="31">
        <f t="shared" ca="1" si="21"/>
        <v>83.06976824982182</v>
      </c>
      <c r="E289" s="32">
        <v>45.447017604993178</v>
      </c>
      <c r="F289" s="32">
        <v>90.983949923411387</v>
      </c>
      <c r="I289" s="17"/>
      <c r="J289" s="17"/>
      <c r="K289" s="17"/>
      <c r="L289" s="17"/>
    </row>
    <row r="290" spans="3:12" x14ac:dyDescent="0.25">
      <c r="C290" s="31">
        <f t="shared" ca="1" si="21"/>
        <v>44.781490260888781</v>
      </c>
      <c r="D290" s="31">
        <f t="shared" ca="1" si="21"/>
        <v>127.14043567462474</v>
      </c>
      <c r="E290" s="32">
        <v>60.935005870156914</v>
      </c>
      <c r="F290" s="32">
        <v>150.50900769651312</v>
      </c>
      <c r="I290" s="17"/>
      <c r="J290" s="17"/>
      <c r="K290" s="17"/>
      <c r="L290" s="17"/>
    </row>
    <row r="291" spans="3:12" x14ac:dyDescent="0.25">
      <c r="C291" s="31">
        <f t="shared" ca="1" si="21"/>
        <v>61.376868373547573</v>
      </c>
      <c r="D291" s="31">
        <f t="shared" ca="1" si="21"/>
        <v>104.49575658072743</v>
      </c>
      <c r="E291" s="32">
        <v>71.957159076871292</v>
      </c>
      <c r="F291" s="32">
        <v>62.470220390210486</v>
      </c>
      <c r="I291" s="17"/>
      <c r="J291" s="17"/>
      <c r="K291" s="17"/>
      <c r="L291" s="17"/>
    </row>
    <row r="292" spans="3:12" x14ac:dyDescent="0.25">
      <c r="C292" s="31">
        <f t="shared" ca="1" si="21"/>
        <v>59.325922028910668</v>
      </c>
      <c r="D292" s="31">
        <f t="shared" ca="1" si="21"/>
        <v>79.323109988318677</v>
      </c>
      <c r="E292" s="32">
        <v>69.057917085842163</v>
      </c>
      <c r="F292" s="32">
        <v>103.23193750976482</v>
      </c>
      <c r="I292" s="17"/>
      <c r="J292" s="17"/>
      <c r="K292" s="17"/>
      <c r="L292" s="17"/>
    </row>
    <row r="293" spans="3:12" x14ac:dyDescent="0.25">
      <c r="C293" s="31">
        <f t="shared" ca="1" si="21"/>
        <v>70.698987973008499</v>
      </c>
      <c r="D293" s="31">
        <f t="shared" ca="1" si="21"/>
        <v>94.680987675663587</v>
      </c>
      <c r="E293" s="32">
        <v>62.216724005115701</v>
      </c>
      <c r="F293" s="32">
        <v>156.40875354309725</v>
      </c>
      <c r="I293" s="17"/>
      <c r="J293" s="17"/>
      <c r="K293" s="17"/>
      <c r="L293" s="17"/>
    </row>
    <row r="294" spans="3:12" x14ac:dyDescent="0.25">
      <c r="C294" s="31">
        <f t="shared" ref="C294:D313" ca="1" si="22">_xlfn.NORM.INV(RAND(),C$4,C$5)</f>
        <v>44.158026720930863</v>
      </c>
      <c r="D294" s="31">
        <f t="shared" ca="1" si="22"/>
        <v>120.01771241504069</v>
      </c>
      <c r="E294" s="32">
        <v>66.562108199944419</v>
      </c>
      <c r="F294" s="32">
        <v>83.757115788362171</v>
      </c>
      <c r="I294" s="17"/>
      <c r="J294" s="17"/>
      <c r="K294" s="17"/>
      <c r="L294" s="17"/>
    </row>
    <row r="295" spans="3:12" x14ac:dyDescent="0.25">
      <c r="C295" s="31">
        <f t="shared" ca="1" si="22"/>
        <v>46.246827096352234</v>
      </c>
      <c r="D295" s="31">
        <f t="shared" ca="1" si="22"/>
        <v>155.96986449299322</v>
      </c>
      <c r="E295" s="32">
        <v>69.893962991040809</v>
      </c>
      <c r="F295" s="32">
        <v>127.0853384783704</v>
      </c>
      <c r="I295" s="17"/>
      <c r="J295" s="17"/>
      <c r="K295" s="17"/>
      <c r="L295" s="17"/>
    </row>
    <row r="296" spans="3:12" x14ac:dyDescent="0.25">
      <c r="C296" s="31">
        <f t="shared" ca="1" si="22"/>
        <v>55.131048298556905</v>
      </c>
      <c r="D296" s="31">
        <f t="shared" ca="1" si="22"/>
        <v>132.19647053359125</v>
      </c>
      <c r="E296" s="32">
        <v>64.837699270672161</v>
      </c>
      <c r="F296" s="32">
        <v>118.51697401752158</v>
      </c>
      <c r="I296" s="17"/>
      <c r="J296" s="17"/>
      <c r="K296" s="17"/>
      <c r="L296" s="17"/>
    </row>
    <row r="297" spans="3:12" x14ac:dyDescent="0.25">
      <c r="C297" s="31">
        <f t="shared" ca="1" si="22"/>
        <v>56.588315113308632</v>
      </c>
      <c r="D297" s="31">
        <f t="shared" ca="1" si="22"/>
        <v>123.57771752035845</v>
      </c>
      <c r="E297" s="32">
        <v>38.680649406521823</v>
      </c>
      <c r="F297" s="32">
        <v>116.39925244170938</v>
      </c>
      <c r="I297" s="17"/>
      <c r="J297" s="17"/>
      <c r="K297" s="17"/>
      <c r="L297" s="17"/>
    </row>
    <row r="298" spans="3:12" x14ac:dyDescent="0.25">
      <c r="C298" s="31">
        <f t="shared" ca="1" si="22"/>
        <v>70.298063885966386</v>
      </c>
      <c r="D298" s="31">
        <f t="shared" ca="1" si="22"/>
        <v>104.4218952252394</v>
      </c>
      <c r="E298" s="32">
        <v>57.350570870484653</v>
      </c>
      <c r="F298" s="32">
        <v>109.48680695954233</v>
      </c>
      <c r="I298" s="17"/>
      <c r="J298" s="17"/>
      <c r="K298" s="17"/>
      <c r="L298" s="17"/>
    </row>
    <row r="299" spans="3:12" x14ac:dyDescent="0.25">
      <c r="C299" s="31">
        <f t="shared" ca="1" si="22"/>
        <v>64.293095404460658</v>
      </c>
      <c r="D299" s="31">
        <f t="shared" ca="1" si="22"/>
        <v>74.040570380441835</v>
      </c>
      <c r="E299" s="32">
        <v>50.226385226989329</v>
      </c>
      <c r="F299" s="32">
        <v>119.42056949305258</v>
      </c>
      <c r="I299" s="17"/>
      <c r="J299" s="17"/>
      <c r="K299" s="17"/>
      <c r="L299" s="17"/>
    </row>
    <row r="300" spans="3:12" x14ac:dyDescent="0.25">
      <c r="C300" s="31">
        <f t="shared" ca="1" si="22"/>
        <v>56.190434359660202</v>
      </c>
      <c r="D300" s="31">
        <f t="shared" ca="1" si="22"/>
        <v>153.08722705305365</v>
      </c>
      <c r="E300" s="32">
        <v>45.739452103815069</v>
      </c>
      <c r="F300" s="32">
        <v>112.28100152014702</v>
      </c>
      <c r="I300" s="17"/>
      <c r="J300" s="17"/>
      <c r="K300" s="17"/>
      <c r="L300" s="17"/>
    </row>
    <row r="301" spans="3:12" x14ac:dyDescent="0.25">
      <c r="C301" s="31">
        <f t="shared" ca="1" si="22"/>
        <v>56.14986167658639</v>
      </c>
      <c r="D301" s="31">
        <f t="shared" ca="1" si="22"/>
        <v>105.75516933273038</v>
      </c>
      <c r="E301" s="32">
        <v>57.696016515264958</v>
      </c>
      <c r="F301" s="32">
        <v>127.81282780967516</v>
      </c>
      <c r="I301" s="17"/>
      <c r="J301" s="17"/>
      <c r="K301" s="17"/>
      <c r="L301" s="17"/>
    </row>
    <row r="302" spans="3:12" x14ac:dyDescent="0.25">
      <c r="C302" s="31">
        <f t="shared" ca="1" si="22"/>
        <v>60.21519539230934</v>
      </c>
      <c r="D302" s="31">
        <f t="shared" ca="1" si="22"/>
        <v>113.33239914456446</v>
      </c>
      <c r="E302" s="32">
        <v>52.022904049304699</v>
      </c>
      <c r="F302" s="32">
        <v>106.16513814847362</v>
      </c>
      <c r="I302" s="17"/>
      <c r="J302" s="17"/>
      <c r="K302" s="17"/>
      <c r="L302" s="17"/>
    </row>
    <row r="303" spans="3:12" x14ac:dyDescent="0.25">
      <c r="C303" s="31">
        <f t="shared" ca="1" si="22"/>
        <v>60.834361018884316</v>
      </c>
      <c r="D303" s="31">
        <f t="shared" ca="1" si="22"/>
        <v>105.29754220229466</v>
      </c>
      <c r="E303" s="32">
        <v>62.266195729703796</v>
      </c>
      <c r="F303" s="32">
        <v>136.18494067652651</v>
      </c>
      <c r="I303" s="17"/>
      <c r="J303" s="17"/>
      <c r="K303" s="17"/>
      <c r="L303" s="17"/>
    </row>
    <row r="304" spans="3:12" x14ac:dyDescent="0.25">
      <c r="C304" s="31">
        <f t="shared" ca="1" si="22"/>
        <v>47.572322085896651</v>
      </c>
      <c r="D304" s="31">
        <f t="shared" ca="1" si="22"/>
        <v>130.30394862407823</v>
      </c>
      <c r="E304" s="32">
        <v>64.180674551936633</v>
      </c>
      <c r="F304" s="32">
        <v>142.94829037103005</v>
      </c>
      <c r="I304" s="17"/>
      <c r="J304" s="17"/>
      <c r="K304" s="17"/>
      <c r="L304" s="17"/>
    </row>
    <row r="305" spans="3:12" x14ac:dyDescent="0.25">
      <c r="C305" s="31">
        <f t="shared" ca="1" si="22"/>
        <v>55.407951485883828</v>
      </c>
      <c r="D305" s="31">
        <f t="shared" ca="1" si="22"/>
        <v>123.95169705590973</v>
      </c>
      <c r="E305" s="32">
        <v>51.097784316376618</v>
      </c>
      <c r="F305" s="32">
        <v>101.96578158260544</v>
      </c>
      <c r="I305" s="17"/>
      <c r="J305" s="17"/>
      <c r="K305" s="17"/>
      <c r="L305" s="17"/>
    </row>
    <row r="306" spans="3:12" x14ac:dyDescent="0.25">
      <c r="C306" s="31">
        <f t="shared" ca="1" si="22"/>
        <v>75.283138857989627</v>
      </c>
      <c r="D306" s="31">
        <f t="shared" ca="1" si="22"/>
        <v>120.31004284848183</v>
      </c>
      <c r="E306" s="32">
        <v>72.867259876712623</v>
      </c>
      <c r="F306" s="32">
        <v>78.92066532825055</v>
      </c>
      <c r="I306" s="17"/>
      <c r="J306" s="17"/>
      <c r="K306" s="17"/>
      <c r="L306" s="17"/>
    </row>
    <row r="307" spans="3:12" x14ac:dyDescent="0.25">
      <c r="C307" s="31">
        <f t="shared" ca="1" si="22"/>
        <v>62.075697478155298</v>
      </c>
      <c r="D307" s="31">
        <f t="shared" ca="1" si="22"/>
        <v>116.53327427413787</v>
      </c>
      <c r="E307" s="32">
        <v>49.549658030409944</v>
      </c>
      <c r="F307" s="32">
        <v>120.04438860162338</v>
      </c>
      <c r="I307" s="17"/>
      <c r="J307" s="17"/>
      <c r="K307" s="17"/>
      <c r="L307" s="17"/>
    </row>
    <row r="308" spans="3:12" x14ac:dyDescent="0.25">
      <c r="C308" s="31">
        <f t="shared" ca="1" si="22"/>
        <v>52.893006313091959</v>
      </c>
      <c r="D308" s="31">
        <f t="shared" ca="1" si="22"/>
        <v>105.38268970347252</v>
      </c>
      <c r="E308" s="32">
        <v>61.764439529494744</v>
      </c>
      <c r="F308" s="32">
        <v>109.52450742211934</v>
      </c>
      <c r="I308" s="17"/>
      <c r="J308" s="17"/>
      <c r="K308" s="17"/>
      <c r="L308" s="17"/>
    </row>
    <row r="309" spans="3:12" x14ac:dyDescent="0.25">
      <c r="C309" s="31">
        <f t="shared" ca="1" si="22"/>
        <v>54.571926558369725</v>
      </c>
      <c r="D309" s="31">
        <f t="shared" ca="1" si="22"/>
        <v>96.286340733282998</v>
      </c>
      <c r="E309" s="32">
        <v>61.238381515970566</v>
      </c>
      <c r="F309" s="32">
        <v>82.658575631383968</v>
      </c>
      <c r="I309" s="17"/>
      <c r="J309" s="17"/>
      <c r="K309" s="17"/>
      <c r="L309" s="17"/>
    </row>
    <row r="310" spans="3:12" x14ac:dyDescent="0.25">
      <c r="C310" s="31">
        <f t="shared" ca="1" si="22"/>
        <v>54.432941707266409</v>
      </c>
      <c r="D310" s="31">
        <f t="shared" ca="1" si="22"/>
        <v>124.71997028777362</v>
      </c>
      <c r="E310" s="32">
        <v>63.225540321910557</v>
      </c>
      <c r="F310" s="32">
        <v>130.77418802776972</v>
      </c>
      <c r="I310" s="17"/>
      <c r="J310" s="17"/>
      <c r="K310" s="17"/>
      <c r="L310" s="17"/>
    </row>
    <row r="311" spans="3:12" x14ac:dyDescent="0.25">
      <c r="C311" s="31">
        <f t="shared" ca="1" si="22"/>
        <v>48.303286668895765</v>
      </c>
      <c r="D311" s="31">
        <f t="shared" ca="1" si="22"/>
        <v>119.392391851669</v>
      </c>
      <c r="E311" s="32">
        <v>59.787657309050836</v>
      </c>
      <c r="F311" s="32">
        <v>124.79288356268654</v>
      </c>
      <c r="I311" s="17"/>
      <c r="J311" s="17"/>
      <c r="K311" s="17"/>
      <c r="L311" s="17"/>
    </row>
    <row r="312" spans="3:12" x14ac:dyDescent="0.25">
      <c r="C312" s="31">
        <f t="shared" ca="1" si="22"/>
        <v>78.462938643545016</v>
      </c>
      <c r="D312" s="31">
        <f t="shared" ca="1" si="22"/>
        <v>97.235231186502887</v>
      </c>
      <c r="E312" s="32">
        <v>49.502561449108967</v>
      </c>
      <c r="F312" s="32">
        <v>144.61537896513624</v>
      </c>
      <c r="I312" s="17"/>
      <c r="J312" s="17"/>
      <c r="K312" s="17"/>
      <c r="L312" s="17"/>
    </row>
    <row r="313" spans="3:12" x14ac:dyDescent="0.25">
      <c r="C313" s="31">
        <f t="shared" ca="1" si="22"/>
        <v>72.658799959241776</v>
      </c>
      <c r="D313" s="31">
        <f t="shared" ca="1" si="22"/>
        <v>111.4789092344775</v>
      </c>
      <c r="E313" s="32">
        <v>57.623499149719862</v>
      </c>
      <c r="F313" s="32">
        <v>141.21363819397396</v>
      </c>
      <c r="I313" s="17"/>
      <c r="J313" s="17"/>
      <c r="K313" s="17"/>
      <c r="L313" s="17"/>
    </row>
    <row r="314" spans="3:12" x14ac:dyDescent="0.25">
      <c r="C314" s="31">
        <f t="shared" ref="C314:D333" ca="1" si="23">_xlfn.NORM.INV(RAND(),C$4,C$5)</f>
        <v>46.608183385315812</v>
      </c>
      <c r="D314" s="31">
        <f t="shared" ca="1" si="23"/>
        <v>129.6422809195389</v>
      </c>
      <c r="E314" s="32">
        <v>84.460866345730736</v>
      </c>
      <c r="F314" s="32">
        <v>99.433013612689734</v>
      </c>
      <c r="I314" s="17"/>
      <c r="J314" s="17"/>
      <c r="K314" s="17"/>
      <c r="L314" s="17"/>
    </row>
    <row r="315" spans="3:12" x14ac:dyDescent="0.25">
      <c r="C315" s="31">
        <f t="shared" ca="1" si="23"/>
        <v>52.382012015692105</v>
      </c>
      <c r="D315" s="31">
        <f t="shared" ca="1" si="23"/>
        <v>130.27766334573562</v>
      </c>
      <c r="E315" s="32">
        <v>56.730281529639605</v>
      </c>
      <c r="F315" s="32">
        <v>123.45137371779725</v>
      </c>
      <c r="I315" s="17"/>
      <c r="J315" s="17"/>
      <c r="K315" s="17"/>
      <c r="L315" s="17"/>
    </row>
    <row r="316" spans="3:12" x14ac:dyDescent="0.25">
      <c r="C316" s="31">
        <f t="shared" ca="1" si="23"/>
        <v>65.949323998165653</v>
      </c>
      <c r="D316" s="31">
        <f t="shared" ca="1" si="23"/>
        <v>131.68027295335736</v>
      </c>
      <c r="E316" s="32">
        <v>63.443813296120958</v>
      </c>
      <c r="F316" s="32">
        <v>124.75022160622913</v>
      </c>
      <c r="I316" s="17"/>
      <c r="J316" s="17"/>
      <c r="K316" s="17"/>
      <c r="L316" s="17"/>
    </row>
    <row r="317" spans="3:12" x14ac:dyDescent="0.25">
      <c r="C317" s="31">
        <f t="shared" ca="1" si="23"/>
        <v>50.772321346712367</v>
      </c>
      <c r="D317" s="31">
        <f t="shared" ca="1" si="23"/>
        <v>158.91199901209558</v>
      </c>
      <c r="E317" s="32">
        <v>50.66945339205428</v>
      </c>
      <c r="F317" s="32">
        <v>105.89539487061563</v>
      </c>
      <c r="I317" s="17"/>
      <c r="J317" s="17"/>
      <c r="K317" s="17"/>
      <c r="L317" s="17"/>
    </row>
    <row r="318" spans="3:12" x14ac:dyDescent="0.25">
      <c r="C318" s="31">
        <f t="shared" ca="1" si="23"/>
        <v>74.17845864361405</v>
      </c>
      <c r="D318" s="31">
        <f t="shared" ca="1" si="23"/>
        <v>104.8510534123388</v>
      </c>
      <c r="E318" s="32">
        <v>46.057678324211722</v>
      </c>
      <c r="F318" s="32">
        <v>142.89830865458521</v>
      </c>
      <c r="I318" s="17"/>
      <c r="J318" s="17"/>
      <c r="K318" s="17"/>
      <c r="L318" s="17"/>
    </row>
    <row r="319" spans="3:12" x14ac:dyDescent="0.25">
      <c r="C319" s="31">
        <f t="shared" ca="1" si="23"/>
        <v>43.776914773570773</v>
      </c>
      <c r="D319" s="31">
        <f t="shared" ca="1" si="23"/>
        <v>100.53268907544177</v>
      </c>
      <c r="E319" s="32">
        <v>54.122323494703714</v>
      </c>
      <c r="F319" s="32">
        <v>100.01806584047627</v>
      </c>
      <c r="I319" s="17"/>
      <c r="J319" s="17"/>
      <c r="K319" s="17"/>
      <c r="L319" s="17"/>
    </row>
    <row r="320" spans="3:12" x14ac:dyDescent="0.25">
      <c r="C320" s="31">
        <f t="shared" ca="1" si="23"/>
        <v>63.481626238761173</v>
      </c>
      <c r="D320" s="31">
        <f t="shared" ca="1" si="23"/>
        <v>139.18120760721467</v>
      </c>
      <c r="E320" s="32">
        <v>66.117063334978127</v>
      </c>
      <c r="F320" s="32">
        <v>105.64074521324251</v>
      </c>
      <c r="I320" s="17"/>
      <c r="J320" s="17"/>
      <c r="K320" s="17"/>
      <c r="L320" s="17"/>
    </row>
    <row r="321" spans="3:12" x14ac:dyDescent="0.25">
      <c r="C321" s="31">
        <f t="shared" ca="1" si="23"/>
        <v>58.220784885381818</v>
      </c>
      <c r="D321" s="31">
        <f t="shared" ca="1" si="23"/>
        <v>104.74982752375939</v>
      </c>
      <c r="E321" s="32">
        <v>66.914568871970985</v>
      </c>
      <c r="F321" s="32">
        <v>98.215375496129695</v>
      </c>
      <c r="I321" s="17"/>
      <c r="J321" s="17"/>
      <c r="K321" s="17"/>
      <c r="L321" s="17"/>
    </row>
    <row r="322" spans="3:12" x14ac:dyDescent="0.25">
      <c r="C322" s="31">
        <f t="shared" ca="1" si="23"/>
        <v>59.352978077355075</v>
      </c>
      <c r="D322" s="31">
        <f t="shared" ca="1" si="23"/>
        <v>127.45135738793935</v>
      </c>
      <c r="E322" s="32">
        <v>61.519621412897671</v>
      </c>
      <c r="F322" s="32">
        <v>124.47462990843596</v>
      </c>
      <c r="I322" s="17"/>
      <c r="J322" s="17"/>
      <c r="K322" s="17"/>
      <c r="L322" s="17"/>
    </row>
    <row r="323" spans="3:12" x14ac:dyDescent="0.25">
      <c r="C323" s="31">
        <f t="shared" ca="1" si="23"/>
        <v>71.963318879474045</v>
      </c>
      <c r="D323" s="31">
        <f t="shared" ca="1" si="23"/>
        <v>122.4601739291229</v>
      </c>
      <c r="E323" s="32">
        <v>45.299912953801375</v>
      </c>
      <c r="F323" s="32">
        <v>120.74329746963393</v>
      </c>
      <c r="I323" s="17"/>
      <c r="J323" s="17"/>
      <c r="K323" s="17"/>
      <c r="L323" s="17"/>
    </row>
    <row r="324" spans="3:12" x14ac:dyDescent="0.25">
      <c r="C324" s="31">
        <f t="shared" ca="1" si="23"/>
        <v>56.511463681586903</v>
      </c>
      <c r="D324" s="31">
        <f t="shared" ca="1" si="23"/>
        <v>104.55950614686735</v>
      </c>
      <c r="E324" s="32">
        <v>65.130936232245304</v>
      </c>
      <c r="F324" s="32">
        <v>111.80822847245247</v>
      </c>
      <c r="I324" s="17"/>
      <c r="J324" s="17"/>
      <c r="K324" s="17"/>
      <c r="L324" s="17"/>
    </row>
    <row r="325" spans="3:12" x14ac:dyDescent="0.25">
      <c r="C325" s="31">
        <f t="shared" ca="1" si="23"/>
        <v>60.302429781563454</v>
      </c>
      <c r="D325" s="31">
        <f t="shared" ca="1" si="23"/>
        <v>99.674925584640405</v>
      </c>
      <c r="E325" s="32">
        <v>67.726252999530203</v>
      </c>
      <c r="F325" s="32">
        <v>120.09735939932044</v>
      </c>
      <c r="I325" s="17"/>
      <c r="J325" s="17"/>
      <c r="K325" s="17"/>
      <c r="L325" s="17"/>
    </row>
    <row r="326" spans="3:12" x14ac:dyDescent="0.25">
      <c r="C326" s="31">
        <f t="shared" ca="1" si="23"/>
        <v>59.886720699050279</v>
      </c>
      <c r="D326" s="31">
        <f t="shared" ca="1" si="23"/>
        <v>137.14006498863287</v>
      </c>
      <c r="E326" s="32">
        <v>75.651488388239954</v>
      </c>
      <c r="F326" s="32">
        <v>115.44119117793375</v>
      </c>
      <c r="I326" s="17"/>
      <c r="J326" s="17"/>
      <c r="K326" s="17"/>
      <c r="L326" s="17"/>
    </row>
    <row r="327" spans="3:12" x14ac:dyDescent="0.25">
      <c r="C327" s="31">
        <f t="shared" ca="1" si="23"/>
        <v>57.944257761806419</v>
      </c>
      <c r="D327" s="31">
        <f t="shared" ca="1" si="23"/>
        <v>88.482229951956938</v>
      </c>
      <c r="E327" s="32">
        <v>47.755020927047546</v>
      </c>
      <c r="F327" s="32">
        <v>121.93040999604796</v>
      </c>
      <c r="I327" s="17"/>
      <c r="J327" s="17"/>
      <c r="K327" s="17"/>
      <c r="L327" s="17"/>
    </row>
    <row r="328" spans="3:12" x14ac:dyDescent="0.25">
      <c r="C328" s="31">
        <f t="shared" ca="1" si="23"/>
        <v>49.620334237622743</v>
      </c>
      <c r="D328" s="31">
        <f t="shared" ca="1" si="23"/>
        <v>126.71387199579965</v>
      </c>
      <c r="E328" s="32">
        <v>60.685963097456373</v>
      </c>
      <c r="F328" s="32">
        <v>95.556992736865368</v>
      </c>
      <c r="I328" s="17"/>
      <c r="J328" s="17"/>
      <c r="K328" s="17"/>
      <c r="L328" s="17"/>
    </row>
    <row r="329" spans="3:12" x14ac:dyDescent="0.25">
      <c r="C329" s="31">
        <f t="shared" ca="1" si="23"/>
        <v>70.429895199286648</v>
      </c>
      <c r="D329" s="31">
        <f t="shared" ca="1" si="23"/>
        <v>125.09455916722138</v>
      </c>
      <c r="E329" s="32">
        <v>56.974521907186684</v>
      </c>
      <c r="F329" s="32">
        <v>135.71319885791166</v>
      </c>
      <c r="I329" s="17"/>
      <c r="J329" s="17"/>
      <c r="K329" s="17"/>
      <c r="L329" s="17"/>
    </row>
    <row r="330" spans="3:12" x14ac:dyDescent="0.25">
      <c r="C330" s="31">
        <f t="shared" ca="1" si="23"/>
        <v>67.616998822052579</v>
      </c>
      <c r="D330" s="31">
        <f t="shared" ca="1" si="23"/>
        <v>95.681025947530216</v>
      </c>
      <c r="E330" s="32">
        <v>57.037710289506329</v>
      </c>
      <c r="F330" s="32">
        <v>143.43907947339744</v>
      </c>
      <c r="I330" s="17"/>
      <c r="J330" s="17"/>
      <c r="K330" s="17"/>
      <c r="L330" s="17"/>
    </row>
    <row r="331" spans="3:12" x14ac:dyDescent="0.25">
      <c r="C331" s="31">
        <f t="shared" ca="1" si="23"/>
        <v>71.249068662200443</v>
      </c>
      <c r="D331" s="31">
        <f t="shared" ca="1" si="23"/>
        <v>150.93558234505349</v>
      </c>
      <c r="E331" s="32">
        <v>92.015712071100722</v>
      </c>
      <c r="F331" s="32">
        <v>124.78337031270939</v>
      </c>
      <c r="I331" s="17"/>
      <c r="J331" s="17"/>
      <c r="K331" s="17"/>
      <c r="L331" s="17"/>
    </row>
    <row r="332" spans="3:12" x14ac:dyDescent="0.25">
      <c r="C332" s="31">
        <f t="shared" ca="1" si="23"/>
        <v>69.84576349707055</v>
      </c>
      <c r="D332" s="31">
        <f t="shared" ca="1" si="23"/>
        <v>122.35758459874025</v>
      </c>
      <c r="E332" s="32">
        <v>57.249105501994038</v>
      </c>
      <c r="F332" s="32">
        <v>82.093427122370173</v>
      </c>
      <c r="I332" s="17"/>
      <c r="J332" s="17"/>
      <c r="K332" s="17"/>
      <c r="L332" s="17"/>
    </row>
    <row r="333" spans="3:12" x14ac:dyDescent="0.25">
      <c r="C333" s="31">
        <f t="shared" ca="1" si="23"/>
        <v>53.031185932492932</v>
      </c>
      <c r="D333" s="31">
        <f t="shared" ca="1" si="23"/>
        <v>93.62457895539994</v>
      </c>
      <c r="E333" s="32">
        <v>53.194073747895736</v>
      </c>
      <c r="F333" s="32">
        <v>116.83558568893949</v>
      </c>
      <c r="I333" s="17"/>
      <c r="J333" s="17"/>
      <c r="K333" s="17"/>
      <c r="L333" s="17"/>
    </row>
    <row r="334" spans="3:12" x14ac:dyDescent="0.25">
      <c r="C334" s="31">
        <f t="shared" ref="C334:D353" ca="1" si="24">_xlfn.NORM.INV(RAND(),C$4,C$5)</f>
        <v>78.015730935488563</v>
      </c>
      <c r="D334" s="31">
        <f t="shared" ca="1" si="24"/>
        <v>108.38867468346783</v>
      </c>
      <c r="E334" s="32">
        <v>66.462426050094308</v>
      </c>
      <c r="F334" s="32">
        <v>109.78703720686903</v>
      </c>
      <c r="I334" s="17"/>
      <c r="J334" s="17"/>
      <c r="K334" s="17"/>
      <c r="L334" s="17"/>
    </row>
    <row r="335" spans="3:12" x14ac:dyDescent="0.25">
      <c r="C335" s="31">
        <f t="shared" ca="1" si="24"/>
        <v>55.570396135556997</v>
      </c>
      <c r="D335" s="31">
        <f t="shared" ca="1" si="24"/>
        <v>109.37003887248716</v>
      </c>
      <c r="E335" s="32">
        <v>47.151152377609876</v>
      </c>
      <c r="F335" s="32">
        <v>145.80820956993477</v>
      </c>
      <c r="I335" s="17"/>
      <c r="J335" s="17"/>
      <c r="K335" s="17"/>
      <c r="L335" s="17"/>
    </row>
    <row r="336" spans="3:12" x14ac:dyDescent="0.25">
      <c r="C336" s="31">
        <f t="shared" ca="1" si="24"/>
        <v>69.784114403714455</v>
      </c>
      <c r="D336" s="31">
        <f t="shared" ca="1" si="24"/>
        <v>122.363845059475</v>
      </c>
      <c r="E336" s="32">
        <v>63.818873163252761</v>
      </c>
      <c r="F336" s="32">
        <v>126.47035204432598</v>
      </c>
      <c r="I336" s="17"/>
      <c r="J336" s="17"/>
      <c r="K336" s="17"/>
      <c r="L336" s="17"/>
    </row>
    <row r="337" spans="3:12" x14ac:dyDescent="0.25">
      <c r="C337" s="31">
        <f t="shared" ca="1" si="24"/>
        <v>63.08860528931983</v>
      </c>
      <c r="D337" s="31">
        <f t="shared" ca="1" si="24"/>
        <v>113.36038881729567</v>
      </c>
      <c r="E337" s="32">
        <v>49.29513091705094</v>
      </c>
      <c r="F337" s="32">
        <v>105.95183848559496</v>
      </c>
      <c r="I337" s="17"/>
      <c r="J337" s="17"/>
      <c r="K337" s="17"/>
      <c r="L337" s="17"/>
    </row>
    <row r="338" spans="3:12" x14ac:dyDescent="0.25">
      <c r="C338" s="31">
        <f t="shared" ca="1" si="24"/>
        <v>56.688592085636735</v>
      </c>
      <c r="D338" s="31">
        <f t="shared" ca="1" si="24"/>
        <v>132.04443499335233</v>
      </c>
      <c r="E338" s="32">
        <v>59.210689767859648</v>
      </c>
      <c r="F338" s="32">
        <v>114.85323115900754</v>
      </c>
      <c r="I338" s="17"/>
      <c r="J338" s="17"/>
      <c r="K338" s="17"/>
      <c r="L338" s="17"/>
    </row>
    <row r="339" spans="3:12" x14ac:dyDescent="0.25">
      <c r="C339" s="31">
        <f t="shared" ca="1" si="24"/>
        <v>52.915010658550578</v>
      </c>
      <c r="D339" s="31">
        <f t="shared" ca="1" si="24"/>
        <v>104.38646971059615</v>
      </c>
      <c r="E339" s="32">
        <v>40.054938772657025</v>
      </c>
      <c r="F339" s="32">
        <v>87.698936993563592</v>
      </c>
      <c r="I339" s="17"/>
      <c r="J339" s="17"/>
      <c r="K339" s="17"/>
      <c r="L339" s="17"/>
    </row>
    <row r="340" spans="3:12" x14ac:dyDescent="0.25">
      <c r="C340" s="31">
        <f t="shared" ca="1" si="24"/>
        <v>65.332023384755104</v>
      </c>
      <c r="D340" s="31">
        <f t="shared" ca="1" si="24"/>
        <v>95.15732569472064</v>
      </c>
      <c r="E340" s="32">
        <v>65.188114606156802</v>
      </c>
      <c r="F340" s="32">
        <v>135.9805299918379</v>
      </c>
      <c r="I340" s="17"/>
      <c r="J340" s="17"/>
      <c r="K340" s="17"/>
      <c r="L340" s="17"/>
    </row>
    <row r="341" spans="3:12" x14ac:dyDescent="0.25">
      <c r="C341" s="31">
        <f t="shared" ca="1" si="24"/>
        <v>68.335033891478275</v>
      </c>
      <c r="D341" s="31">
        <f t="shared" ca="1" si="24"/>
        <v>138.74160947466515</v>
      </c>
      <c r="E341" s="32">
        <v>53.957801452292045</v>
      </c>
      <c r="F341" s="32">
        <v>111.59342067756519</v>
      </c>
      <c r="I341" s="17"/>
      <c r="J341" s="17"/>
      <c r="K341" s="17"/>
      <c r="L341" s="17"/>
    </row>
    <row r="342" spans="3:12" x14ac:dyDescent="0.25">
      <c r="C342" s="31">
        <f t="shared" ca="1" si="24"/>
        <v>64.392610881249055</v>
      </c>
      <c r="D342" s="31">
        <f t="shared" ca="1" si="24"/>
        <v>100.72969879184937</v>
      </c>
      <c r="E342" s="32">
        <v>71.577415641080307</v>
      </c>
      <c r="F342" s="32">
        <v>129.10459151944684</v>
      </c>
      <c r="I342" s="17"/>
      <c r="J342" s="17"/>
      <c r="K342" s="17"/>
      <c r="L342" s="17"/>
    </row>
    <row r="343" spans="3:12" x14ac:dyDescent="0.25">
      <c r="C343" s="31">
        <f t="shared" ca="1" si="24"/>
        <v>65.959290897506051</v>
      </c>
      <c r="D343" s="31">
        <f t="shared" ca="1" si="24"/>
        <v>109.17851142625001</v>
      </c>
      <c r="E343" s="32">
        <v>77.191724920082365</v>
      </c>
      <c r="F343" s="32">
        <v>131.47889681409464</v>
      </c>
      <c r="I343" s="17"/>
      <c r="J343" s="17"/>
      <c r="K343" s="17"/>
      <c r="L343" s="17"/>
    </row>
    <row r="344" spans="3:12" x14ac:dyDescent="0.25">
      <c r="C344" s="31">
        <f t="shared" ca="1" si="24"/>
        <v>36.698758361426421</v>
      </c>
      <c r="D344" s="31">
        <f t="shared" ca="1" si="24"/>
        <v>127.1968705766478</v>
      </c>
      <c r="E344" s="32">
        <v>60.418600752395506</v>
      </c>
      <c r="F344" s="32">
        <v>126.54749638278054</v>
      </c>
      <c r="I344" s="17"/>
      <c r="J344" s="17"/>
      <c r="K344" s="17"/>
      <c r="L344" s="17"/>
    </row>
    <row r="345" spans="3:12" x14ac:dyDescent="0.25">
      <c r="C345" s="31">
        <f t="shared" ca="1" si="24"/>
        <v>70.119603354570359</v>
      </c>
      <c r="D345" s="31">
        <f t="shared" ca="1" si="24"/>
        <v>80.426536643672819</v>
      </c>
      <c r="E345" s="32">
        <v>66.713399065804737</v>
      </c>
      <c r="F345" s="32">
        <v>99.490739787068861</v>
      </c>
      <c r="I345" s="17"/>
      <c r="J345" s="17"/>
      <c r="K345" s="17"/>
      <c r="L345" s="17"/>
    </row>
    <row r="346" spans="3:12" x14ac:dyDescent="0.25">
      <c r="C346" s="31">
        <f t="shared" ca="1" si="24"/>
        <v>67.104856351605832</v>
      </c>
      <c r="D346" s="31">
        <f t="shared" ca="1" si="24"/>
        <v>145.47016428970988</v>
      </c>
      <c r="E346" s="32">
        <v>52.292449160980212</v>
      </c>
      <c r="F346" s="32">
        <v>101.4606047716622</v>
      </c>
      <c r="I346" s="17"/>
      <c r="J346" s="17"/>
      <c r="K346" s="17"/>
      <c r="L346" s="17"/>
    </row>
    <row r="347" spans="3:12" x14ac:dyDescent="0.25">
      <c r="C347" s="31">
        <f t="shared" ca="1" si="24"/>
        <v>52.917291917984102</v>
      </c>
      <c r="D347" s="31">
        <f t="shared" ca="1" si="24"/>
        <v>102.40861093392225</v>
      </c>
      <c r="E347" s="32">
        <v>71.253990854159142</v>
      </c>
      <c r="F347" s="32">
        <v>118.93555010081062</v>
      </c>
      <c r="I347" s="17"/>
      <c r="J347" s="17"/>
      <c r="K347" s="17"/>
      <c r="L347" s="17"/>
    </row>
    <row r="348" spans="3:12" x14ac:dyDescent="0.25">
      <c r="C348" s="31">
        <f t="shared" ca="1" si="24"/>
        <v>73.441712307075306</v>
      </c>
      <c r="D348" s="31">
        <f t="shared" ca="1" si="24"/>
        <v>114.4040442115201</v>
      </c>
      <c r="E348" s="32">
        <v>54.259075249213794</v>
      </c>
      <c r="F348" s="32">
        <v>161.86144847946392</v>
      </c>
      <c r="I348" s="17"/>
      <c r="J348" s="17"/>
      <c r="K348" s="17"/>
      <c r="L348" s="17"/>
    </row>
    <row r="349" spans="3:12" x14ac:dyDescent="0.25">
      <c r="C349" s="31">
        <f t="shared" ca="1" si="24"/>
        <v>43.406442958616864</v>
      </c>
      <c r="D349" s="31">
        <f t="shared" ca="1" si="24"/>
        <v>128.57775078064063</v>
      </c>
      <c r="E349" s="32">
        <v>69.051865603437165</v>
      </c>
      <c r="F349" s="32">
        <v>132.92117515158884</v>
      </c>
      <c r="I349" s="17"/>
      <c r="J349" s="17"/>
      <c r="K349" s="17"/>
      <c r="L349" s="17"/>
    </row>
    <row r="350" spans="3:12" x14ac:dyDescent="0.25">
      <c r="C350" s="31">
        <f t="shared" ca="1" si="24"/>
        <v>81.908970519871019</v>
      </c>
      <c r="D350" s="31">
        <f t="shared" ca="1" si="24"/>
        <v>129.28886724780426</v>
      </c>
      <c r="E350" s="32">
        <v>60.308899386677076</v>
      </c>
      <c r="F350" s="32">
        <v>124.94470730751935</v>
      </c>
      <c r="I350" s="17"/>
      <c r="J350" s="17"/>
      <c r="K350" s="17"/>
      <c r="L350" s="17"/>
    </row>
    <row r="351" spans="3:12" x14ac:dyDescent="0.25">
      <c r="C351" s="31">
        <f t="shared" ca="1" si="24"/>
        <v>54.266735219048101</v>
      </c>
      <c r="D351" s="31">
        <f t="shared" ca="1" si="24"/>
        <v>118.53630079914004</v>
      </c>
      <c r="E351" s="32">
        <v>40.081552631884747</v>
      </c>
      <c r="F351" s="32">
        <v>128.44388127995674</v>
      </c>
      <c r="I351" s="17"/>
      <c r="J351" s="17"/>
      <c r="K351" s="17"/>
      <c r="L351" s="17"/>
    </row>
    <row r="352" spans="3:12" x14ac:dyDescent="0.25">
      <c r="C352" s="31">
        <f t="shared" ca="1" si="24"/>
        <v>64.336393591764931</v>
      </c>
      <c r="D352" s="31">
        <f t="shared" ca="1" si="24"/>
        <v>141.44420682689238</v>
      </c>
      <c r="E352" s="32">
        <v>55.961775369860568</v>
      </c>
      <c r="F352" s="32">
        <v>131.1911443526831</v>
      </c>
      <c r="I352" s="17"/>
      <c r="J352" s="17"/>
      <c r="K352" s="17"/>
      <c r="L352" s="17"/>
    </row>
    <row r="353" spans="3:12" x14ac:dyDescent="0.25">
      <c r="C353" s="31">
        <f t="shared" ca="1" si="24"/>
        <v>53.498446962216967</v>
      </c>
      <c r="D353" s="31">
        <f t="shared" ca="1" si="24"/>
        <v>90.469671603311227</v>
      </c>
      <c r="E353" s="32">
        <v>56.949311451086395</v>
      </c>
      <c r="F353" s="32">
        <v>126.78239424566664</v>
      </c>
      <c r="I353" s="17"/>
      <c r="J353" s="17"/>
      <c r="K353" s="17"/>
      <c r="L353" s="17"/>
    </row>
    <row r="354" spans="3:12" x14ac:dyDescent="0.25">
      <c r="C354" s="31">
        <f t="shared" ref="C354:D373" ca="1" si="25">_xlfn.NORM.INV(RAND(),C$4,C$5)</f>
        <v>55.289957810059548</v>
      </c>
      <c r="D354" s="31">
        <f t="shared" ca="1" si="25"/>
        <v>127.88206843937762</v>
      </c>
      <c r="E354" s="32">
        <v>64.106163351499632</v>
      </c>
      <c r="F354" s="32">
        <v>117.59685580455863</v>
      </c>
      <c r="I354" s="17"/>
      <c r="J354" s="17"/>
      <c r="K354" s="17"/>
      <c r="L354" s="17"/>
    </row>
    <row r="355" spans="3:12" x14ac:dyDescent="0.25">
      <c r="C355" s="31">
        <f t="shared" ca="1" si="25"/>
        <v>55.9671424144193</v>
      </c>
      <c r="D355" s="31">
        <f t="shared" ca="1" si="25"/>
        <v>125.14891612290799</v>
      </c>
      <c r="E355" s="32">
        <v>44.271832367002254</v>
      </c>
      <c r="F355" s="32">
        <v>142.32929143385661</v>
      </c>
      <c r="I355" s="17"/>
      <c r="J355" s="17"/>
      <c r="K355" s="17"/>
      <c r="L355" s="17"/>
    </row>
    <row r="356" spans="3:12" x14ac:dyDescent="0.25">
      <c r="C356" s="31">
        <f t="shared" ca="1" si="25"/>
        <v>41.672199299855762</v>
      </c>
      <c r="D356" s="31">
        <f t="shared" ca="1" si="25"/>
        <v>123.54156149058791</v>
      </c>
      <c r="E356" s="32">
        <v>72.04755470579623</v>
      </c>
      <c r="F356" s="32">
        <v>118.23459116700595</v>
      </c>
      <c r="I356" s="17"/>
      <c r="J356" s="17"/>
      <c r="K356" s="17"/>
      <c r="L356" s="17"/>
    </row>
    <row r="357" spans="3:12" x14ac:dyDescent="0.25">
      <c r="C357" s="31">
        <f t="shared" ca="1" si="25"/>
        <v>37.280149618601946</v>
      </c>
      <c r="D357" s="31">
        <f t="shared" ca="1" si="25"/>
        <v>114.46088096680461</v>
      </c>
      <c r="E357" s="32">
        <v>49.012507092427029</v>
      </c>
      <c r="F357" s="32">
        <v>135.48241469050194</v>
      </c>
      <c r="I357" s="17"/>
      <c r="J357" s="17"/>
      <c r="K357" s="17"/>
      <c r="L357" s="17"/>
    </row>
    <row r="358" spans="3:12" x14ac:dyDescent="0.25">
      <c r="C358" s="31">
        <f t="shared" ca="1" si="25"/>
        <v>66.861881832689861</v>
      </c>
      <c r="D358" s="31">
        <f t="shared" ca="1" si="25"/>
        <v>93.742726478544853</v>
      </c>
      <c r="E358" s="32">
        <v>42.902108494064322</v>
      </c>
      <c r="F358" s="32">
        <v>106.82535455555877</v>
      </c>
      <c r="I358" s="17"/>
      <c r="J358" s="17"/>
      <c r="K358" s="17"/>
      <c r="L358" s="17"/>
    </row>
    <row r="359" spans="3:12" x14ac:dyDescent="0.25">
      <c r="C359" s="31">
        <f t="shared" ca="1" si="25"/>
        <v>72.108362519575934</v>
      </c>
      <c r="D359" s="31">
        <f t="shared" ca="1" si="25"/>
        <v>111.12004849077726</v>
      </c>
      <c r="E359" s="32">
        <v>37.142435832875876</v>
      </c>
      <c r="F359" s="32">
        <v>108.04406844933737</v>
      </c>
      <c r="I359" s="17"/>
      <c r="J359" s="17"/>
      <c r="K359" s="17"/>
      <c r="L359" s="17"/>
    </row>
    <row r="360" spans="3:12" x14ac:dyDescent="0.25">
      <c r="C360" s="31">
        <f t="shared" ca="1" si="25"/>
        <v>68.442450250159069</v>
      </c>
      <c r="D360" s="31">
        <f t="shared" ca="1" si="25"/>
        <v>101.61651177388629</v>
      </c>
      <c r="E360" s="32">
        <v>62.252254419903018</v>
      </c>
      <c r="F360" s="32">
        <v>94.192945469867311</v>
      </c>
      <c r="I360" s="17"/>
      <c r="J360" s="17"/>
      <c r="K360" s="17"/>
      <c r="L360" s="17"/>
    </row>
    <row r="361" spans="3:12" x14ac:dyDescent="0.25">
      <c r="C361" s="31">
        <f t="shared" ca="1" si="25"/>
        <v>41.401622884954875</v>
      </c>
      <c r="D361" s="31">
        <f t="shared" ca="1" si="25"/>
        <v>135.08018408342076</v>
      </c>
      <c r="E361" s="32">
        <v>61.672483920752086</v>
      </c>
      <c r="F361" s="32">
        <v>110.79426458992057</v>
      </c>
      <c r="I361" s="17"/>
      <c r="J361" s="17"/>
      <c r="K361" s="17"/>
      <c r="L361" s="17"/>
    </row>
    <row r="362" spans="3:12" x14ac:dyDescent="0.25">
      <c r="C362" s="31">
        <f t="shared" ca="1" si="25"/>
        <v>37.075581636349114</v>
      </c>
      <c r="D362" s="31">
        <f t="shared" ca="1" si="25"/>
        <v>129.72515862063571</v>
      </c>
      <c r="E362" s="32">
        <v>72.365570428262458</v>
      </c>
      <c r="F362" s="32">
        <v>115.49464033975697</v>
      </c>
      <c r="I362" s="17"/>
      <c r="J362" s="17"/>
      <c r="K362" s="17"/>
      <c r="L362" s="17"/>
    </row>
    <row r="363" spans="3:12" x14ac:dyDescent="0.25">
      <c r="C363" s="31">
        <f t="shared" ca="1" si="25"/>
        <v>75.752050568275379</v>
      </c>
      <c r="D363" s="31">
        <f t="shared" ca="1" si="25"/>
        <v>139.73680467015811</v>
      </c>
      <c r="E363" s="32">
        <v>60.419014889094882</v>
      </c>
      <c r="F363" s="32">
        <v>127.20084190146261</v>
      </c>
      <c r="I363" s="17"/>
      <c r="J363" s="17"/>
      <c r="K363" s="17"/>
      <c r="L363" s="17"/>
    </row>
    <row r="364" spans="3:12" x14ac:dyDescent="0.25">
      <c r="C364" s="31">
        <f t="shared" ca="1" si="25"/>
        <v>43.180753673202076</v>
      </c>
      <c r="D364" s="31">
        <f t="shared" ca="1" si="25"/>
        <v>132.08633019592929</v>
      </c>
      <c r="E364" s="32">
        <v>64.706433498144932</v>
      </c>
      <c r="F364" s="32">
        <v>110.9459138657875</v>
      </c>
      <c r="I364" s="17"/>
      <c r="J364" s="17"/>
      <c r="K364" s="17"/>
      <c r="L364" s="17"/>
    </row>
    <row r="365" spans="3:12" x14ac:dyDescent="0.25">
      <c r="C365" s="31">
        <f t="shared" ca="1" si="25"/>
        <v>34.232622046625963</v>
      </c>
      <c r="D365" s="31">
        <f t="shared" ca="1" si="25"/>
        <v>142.45020120673584</v>
      </c>
      <c r="E365" s="32">
        <v>62.20609692116119</v>
      </c>
      <c r="F365" s="32">
        <v>119.63527544917341</v>
      </c>
      <c r="I365" s="17"/>
      <c r="J365" s="17"/>
      <c r="K365" s="17"/>
      <c r="L365" s="17"/>
    </row>
    <row r="366" spans="3:12" x14ac:dyDescent="0.25">
      <c r="C366" s="31">
        <f t="shared" ca="1" si="25"/>
        <v>75.874979282426779</v>
      </c>
      <c r="D366" s="31">
        <f t="shared" ca="1" si="25"/>
        <v>129.32154588350858</v>
      </c>
      <c r="E366" s="32">
        <v>64.311685996048126</v>
      </c>
      <c r="F366" s="32">
        <v>133.28425442474972</v>
      </c>
      <c r="I366" s="17"/>
      <c r="J366" s="17"/>
      <c r="K366" s="17"/>
      <c r="L366" s="17"/>
    </row>
    <row r="367" spans="3:12" x14ac:dyDescent="0.25">
      <c r="C367" s="31">
        <f t="shared" ca="1" si="25"/>
        <v>75.426586744003814</v>
      </c>
      <c r="D367" s="31">
        <f t="shared" ca="1" si="25"/>
        <v>117.16455587645517</v>
      </c>
      <c r="E367" s="32">
        <v>88.157813504586471</v>
      </c>
      <c r="F367" s="32">
        <v>94.381897838139807</v>
      </c>
      <c r="I367" s="17"/>
      <c r="J367" s="17"/>
      <c r="K367" s="17"/>
      <c r="L367" s="17"/>
    </row>
    <row r="368" spans="3:12" x14ac:dyDescent="0.25">
      <c r="C368" s="31">
        <f t="shared" ca="1" si="25"/>
        <v>51.992872894266455</v>
      </c>
      <c r="D368" s="31">
        <f t="shared" ca="1" si="25"/>
        <v>98.045473574503546</v>
      </c>
      <c r="E368" s="32">
        <v>65.42850423974015</v>
      </c>
      <c r="F368" s="32">
        <v>130.81852988719558</v>
      </c>
      <c r="I368" s="17"/>
      <c r="J368" s="17"/>
      <c r="K368" s="17"/>
      <c r="L368" s="17"/>
    </row>
    <row r="369" spans="3:12" x14ac:dyDescent="0.25">
      <c r="C369" s="31">
        <f t="shared" ca="1" si="25"/>
        <v>56.070288100797889</v>
      </c>
      <c r="D369" s="31">
        <f t="shared" ca="1" si="25"/>
        <v>122.22782086226235</v>
      </c>
      <c r="E369" s="32">
        <v>71.341648461458817</v>
      </c>
      <c r="F369" s="32">
        <v>70.073169913915507</v>
      </c>
      <c r="I369" s="17"/>
      <c r="J369" s="17"/>
      <c r="K369" s="17"/>
      <c r="L369" s="17"/>
    </row>
    <row r="370" spans="3:12" x14ac:dyDescent="0.25">
      <c r="C370" s="31">
        <f t="shared" ca="1" si="25"/>
        <v>63.620357544587677</v>
      </c>
      <c r="D370" s="31">
        <f t="shared" ca="1" si="25"/>
        <v>113.59118512468692</v>
      </c>
      <c r="E370" s="32">
        <v>54.742414770771354</v>
      </c>
      <c r="F370" s="32">
        <v>94.932370723551003</v>
      </c>
      <c r="I370" s="17"/>
      <c r="J370" s="17"/>
      <c r="K370" s="17"/>
      <c r="L370" s="17"/>
    </row>
    <row r="371" spans="3:12" x14ac:dyDescent="0.25">
      <c r="C371" s="31">
        <f t="shared" ca="1" si="25"/>
        <v>56.333416479577579</v>
      </c>
      <c r="D371" s="31">
        <f t="shared" ca="1" si="25"/>
        <v>123.14995618772124</v>
      </c>
      <c r="E371" s="32">
        <v>64.206212012696781</v>
      </c>
      <c r="F371" s="32">
        <v>111.84295965366155</v>
      </c>
      <c r="I371" s="17"/>
      <c r="J371" s="17"/>
      <c r="K371" s="17"/>
      <c r="L371" s="17"/>
    </row>
    <row r="372" spans="3:12" x14ac:dyDescent="0.25">
      <c r="C372" s="31">
        <f t="shared" ca="1" si="25"/>
        <v>58.823883744597289</v>
      </c>
      <c r="D372" s="31">
        <f t="shared" ca="1" si="25"/>
        <v>116.64912985021232</v>
      </c>
      <c r="E372" s="32">
        <v>68.12455545229426</v>
      </c>
      <c r="F372" s="32">
        <v>120.65996542306974</v>
      </c>
      <c r="I372" s="17"/>
      <c r="J372" s="17"/>
      <c r="K372" s="17"/>
      <c r="L372" s="17"/>
    </row>
    <row r="373" spans="3:12" x14ac:dyDescent="0.25">
      <c r="C373" s="31">
        <f t="shared" ca="1" si="25"/>
        <v>58.725922958958932</v>
      </c>
      <c r="D373" s="31">
        <f t="shared" ca="1" si="25"/>
        <v>130.58100738174284</v>
      </c>
      <c r="E373" s="32">
        <v>71.56941530899681</v>
      </c>
      <c r="F373" s="32">
        <v>115.83021493106538</v>
      </c>
      <c r="I373" s="17"/>
      <c r="J373" s="17"/>
      <c r="K373" s="17"/>
      <c r="L373" s="17"/>
    </row>
    <row r="374" spans="3:12" x14ac:dyDescent="0.25">
      <c r="C374" s="31">
        <f t="shared" ref="C374:D393" ca="1" si="26">_xlfn.NORM.INV(RAND(),C$4,C$5)</f>
        <v>66.101282386887078</v>
      </c>
      <c r="D374" s="31">
        <f t="shared" ca="1" si="26"/>
        <v>106.5281506161802</v>
      </c>
      <c r="E374" s="32">
        <v>73.568812255245717</v>
      </c>
      <c r="F374" s="32">
        <v>121.06287318142967</v>
      </c>
      <c r="I374" s="17"/>
      <c r="J374" s="17"/>
      <c r="K374" s="17"/>
      <c r="L374" s="17"/>
    </row>
    <row r="375" spans="3:12" x14ac:dyDescent="0.25">
      <c r="C375" s="31">
        <f t="shared" ca="1" si="26"/>
        <v>54.219542530570152</v>
      </c>
      <c r="D375" s="31">
        <f t="shared" ca="1" si="26"/>
        <v>107.63547003152814</v>
      </c>
      <c r="E375" s="32">
        <v>56.045253585521401</v>
      </c>
      <c r="F375" s="32">
        <v>137.33596858646405</v>
      </c>
      <c r="I375" s="17"/>
      <c r="J375" s="17"/>
      <c r="K375" s="17"/>
      <c r="L375" s="17"/>
    </row>
    <row r="376" spans="3:12" x14ac:dyDescent="0.25">
      <c r="C376" s="31">
        <f t="shared" ca="1" si="26"/>
        <v>66.735018521226877</v>
      </c>
      <c r="D376" s="31">
        <f t="shared" ca="1" si="26"/>
        <v>96.276249620547318</v>
      </c>
      <c r="E376" s="32">
        <v>58.105978852244235</v>
      </c>
      <c r="F376" s="32">
        <v>113.84322396721815</v>
      </c>
      <c r="I376" s="17"/>
      <c r="J376" s="17"/>
      <c r="K376" s="17"/>
      <c r="L376" s="17"/>
    </row>
    <row r="377" spans="3:12" x14ac:dyDescent="0.25">
      <c r="C377" s="31">
        <f t="shared" ca="1" si="26"/>
        <v>53.92552936270954</v>
      </c>
      <c r="D377" s="31">
        <f t="shared" ca="1" si="26"/>
        <v>83.74636921981508</v>
      </c>
      <c r="E377" s="32">
        <v>65.830453367480331</v>
      </c>
      <c r="F377" s="32">
        <v>126.03884613130766</v>
      </c>
      <c r="I377" s="17"/>
      <c r="J377" s="17"/>
      <c r="K377" s="17"/>
      <c r="L377" s="17"/>
    </row>
    <row r="378" spans="3:12" x14ac:dyDescent="0.25">
      <c r="C378" s="31">
        <f t="shared" ca="1" si="26"/>
        <v>62.362509120115796</v>
      </c>
      <c r="D378" s="31">
        <f t="shared" ca="1" si="26"/>
        <v>89.871928690031922</v>
      </c>
      <c r="E378" s="32">
        <v>72.230653367067376</v>
      </c>
      <c r="F378" s="32">
        <v>92.182350774264449</v>
      </c>
      <c r="I378" s="17"/>
      <c r="J378" s="17"/>
      <c r="K378" s="17"/>
      <c r="L378" s="17"/>
    </row>
    <row r="379" spans="3:12" x14ac:dyDescent="0.25">
      <c r="C379" s="31">
        <f t="shared" ca="1" si="26"/>
        <v>59.690366001578333</v>
      </c>
      <c r="D379" s="31">
        <f t="shared" ca="1" si="26"/>
        <v>136.76875985325157</v>
      </c>
      <c r="E379" s="32">
        <v>60.37474423278136</v>
      </c>
      <c r="F379" s="32">
        <v>117.18867517747113</v>
      </c>
      <c r="I379" s="17"/>
      <c r="J379" s="17"/>
      <c r="K379" s="17"/>
      <c r="L379" s="17"/>
    </row>
    <row r="380" spans="3:12" x14ac:dyDescent="0.25">
      <c r="C380" s="31">
        <f t="shared" ca="1" si="26"/>
        <v>34.711637310554678</v>
      </c>
      <c r="D380" s="31">
        <f t="shared" ca="1" si="26"/>
        <v>105.64963645378943</v>
      </c>
      <c r="E380" s="32">
        <v>61.214816834881788</v>
      </c>
      <c r="F380" s="32">
        <v>133.01235619639988</v>
      </c>
      <c r="I380" s="17"/>
      <c r="J380" s="17"/>
      <c r="K380" s="17"/>
      <c r="L380" s="17"/>
    </row>
    <row r="381" spans="3:12" x14ac:dyDescent="0.25">
      <c r="C381" s="31">
        <f t="shared" ca="1" si="26"/>
        <v>48.818192283587805</v>
      </c>
      <c r="D381" s="31">
        <f t="shared" ca="1" si="26"/>
        <v>117.6181862488905</v>
      </c>
      <c r="E381" s="32">
        <v>82.727189410993901</v>
      </c>
      <c r="F381" s="32">
        <v>112.03163645831994</v>
      </c>
      <c r="I381" s="17"/>
      <c r="J381" s="17"/>
      <c r="K381" s="17"/>
      <c r="L381" s="17"/>
    </row>
    <row r="382" spans="3:12" x14ac:dyDescent="0.25">
      <c r="C382" s="31">
        <f t="shared" ca="1" si="26"/>
        <v>68.965295572620803</v>
      </c>
      <c r="D382" s="31">
        <f t="shared" ca="1" si="26"/>
        <v>122.1739496384557</v>
      </c>
      <c r="E382" s="32">
        <v>76.482447257960018</v>
      </c>
      <c r="F382" s="32">
        <v>152.78777925151348</v>
      </c>
      <c r="I382" s="17"/>
      <c r="J382" s="17"/>
      <c r="K382" s="17"/>
      <c r="L382" s="17"/>
    </row>
    <row r="383" spans="3:12" x14ac:dyDescent="0.25">
      <c r="C383" s="31">
        <f t="shared" ca="1" si="26"/>
        <v>50.814494352931092</v>
      </c>
      <c r="D383" s="31">
        <f t="shared" ca="1" si="26"/>
        <v>93.314460464487041</v>
      </c>
      <c r="E383" s="32">
        <v>58.727133658964206</v>
      </c>
      <c r="F383" s="32">
        <v>128.4653377320677</v>
      </c>
      <c r="I383" s="17"/>
      <c r="J383" s="17"/>
      <c r="K383" s="17"/>
      <c r="L383" s="17"/>
    </row>
    <row r="384" spans="3:12" x14ac:dyDescent="0.25">
      <c r="C384" s="31">
        <f t="shared" ca="1" si="26"/>
        <v>48.407189252208333</v>
      </c>
      <c r="D384" s="31">
        <f t="shared" ca="1" si="26"/>
        <v>102.45991090455587</v>
      </c>
      <c r="E384" s="32">
        <v>54.007381299482788</v>
      </c>
      <c r="F384" s="32">
        <v>100.0844125216055</v>
      </c>
      <c r="I384" s="17"/>
      <c r="J384" s="17"/>
      <c r="K384" s="17"/>
      <c r="L384" s="17"/>
    </row>
    <row r="385" spans="3:12" x14ac:dyDescent="0.25">
      <c r="C385" s="31">
        <f t="shared" ca="1" si="26"/>
        <v>68.821985289407294</v>
      </c>
      <c r="D385" s="31">
        <f t="shared" ca="1" si="26"/>
        <v>121.1164201966054</v>
      </c>
      <c r="E385" s="32">
        <v>56.684536663923922</v>
      </c>
      <c r="F385" s="32">
        <v>90.181577917682148</v>
      </c>
      <c r="I385" s="17"/>
      <c r="J385" s="17"/>
      <c r="K385" s="17"/>
      <c r="L385" s="17"/>
    </row>
    <row r="386" spans="3:12" x14ac:dyDescent="0.25">
      <c r="C386" s="31">
        <f t="shared" ca="1" si="26"/>
        <v>34.663636105494277</v>
      </c>
      <c r="D386" s="31">
        <f t="shared" ca="1" si="26"/>
        <v>157.6752672878072</v>
      </c>
      <c r="E386" s="32">
        <v>64.980284376535977</v>
      </c>
      <c r="F386" s="32">
        <v>111.65209217148477</v>
      </c>
      <c r="I386" s="17"/>
      <c r="J386" s="17"/>
      <c r="K386" s="17"/>
      <c r="L386" s="17"/>
    </row>
    <row r="387" spans="3:12" x14ac:dyDescent="0.25">
      <c r="C387" s="31">
        <f t="shared" ca="1" si="26"/>
        <v>57.563161496391849</v>
      </c>
      <c r="D387" s="31">
        <f t="shared" ca="1" si="26"/>
        <v>119.55079619517505</v>
      </c>
      <c r="E387" s="32">
        <v>33.78293871248232</v>
      </c>
      <c r="F387" s="32">
        <v>144.70023596847875</v>
      </c>
      <c r="I387" s="17"/>
      <c r="J387" s="17"/>
      <c r="K387" s="17"/>
      <c r="L387" s="17"/>
    </row>
    <row r="388" spans="3:12" x14ac:dyDescent="0.25">
      <c r="C388" s="31">
        <f t="shared" ca="1" si="26"/>
        <v>61.382470851402495</v>
      </c>
      <c r="D388" s="31">
        <f t="shared" ca="1" si="26"/>
        <v>138.94924519784536</v>
      </c>
      <c r="E388" s="32">
        <v>71.295678102204789</v>
      </c>
      <c r="F388" s="32">
        <v>102.72467692841551</v>
      </c>
      <c r="I388" s="17"/>
      <c r="J388" s="17"/>
      <c r="K388" s="17"/>
      <c r="L388" s="17"/>
    </row>
    <row r="389" spans="3:12" x14ac:dyDescent="0.25">
      <c r="C389" s="31">
        <f t="shared" ca="1" si="26"/>
        <v>59.383223221078005</v>
      </c>
      <c r="D389" s="31">
        <f t="shared" ca="1" si="26"/>
        <v>123.75228240682259</v>
      </c>
      <c r="E389" s="32">
        <v>45.402976217719619</v>
      </c>
      <c r="F389" s="32">
        <v>136.73377011772391</v>
      </c>
      <c r="I389" s="17"/>
      <c r="J389" s="17"/>
      <c r="K389" s="17"/>
      <c r="L389" s="17"/>
    </row>
    <row r="390" spans="3:12" x14ac:dyDescent="0.25">
      <c r="C390" s="31">
        <f t="shared" ca="1" si="26"/>
        <v>61.682606500959864</v>
      </c>
      <c r="D390" s="31">
        <f t="shared" ca="1" si="26"/>
        <v>120.23226807736179</v>
      </c>
      <c r="E390" s="32">
        <v>59.013531229260352</v>
      </c>
      <c r="F390" s="32">
        <v>136.45210021324098</v>
      </c>
      <c r="I390" s="17"/>
      <c r="J390" s="17"/>
      <c r="K390" s="17"/>
      <c r="L390" s="17"/>
    </row>
    <row r="391" spans="3:12" x14ac:dyDescent="0.25">
      <c r="C391" s="31">
        <f t="shared" ca="1" si="26"/>
        <v>70.048443549729811</v>
      </c>
      <c r="D391" s="31">
        <f t="shared" ca="1" si="26"/>
        <v>94.708551243788236</v>
      </c>
      <c r="E391" s="32">
        <v>42.464531689323636</v>
      </c>
      <c r="F391" s="32">
        <v>113.27438412338964</v>
      </c>
      <c r="I391" s="17"/>
      <c r="J391" s="17"/>
      <c r="K391" s="17"/>
      <c r="L391" s="17"/>
    </row>
    <row r="392" spans="3:12" x14ac:dyDescent="0.25">
      <c r="C392" s="31">
        <f t="shared" ca="1" si="26"/>
        <v>66.808108444942505</v>
      </c>
      <c r="D392" s="31">
        <f t="shared" ca="1" si="26"/>
        <v>139.28605065646664</v>
      </c>
      <c r="E392" s="32">
        <v>60.808927353422625</v>
      </c>
      <c r="F392" s="32">
        <v>146.98569363329068</v>
      </c>
      <c r="I392" s="17"/>
      <c r="J392" s="17"/>
      <c r="K392" s="17"/>
      <c r="L392" s="17"/>
    </row>
    <row r="393" spans="3:12" x14ac:dyDescent="0.25">
      <c r="C393" s="31">
        <f t="shared" ca="1" si="26"/>
        <v>60.75891427903673</v>
      </c>
      <c r="D393" s="31">
        <f t="shared" ca="1" si="26"/>
        <v>145.83946980699923</v>
      </c>
      <c r="E393" s="32">
        <v>62.989734945727832</v>
      </c>
      <c r="F393" s="32">
        <v>88.051849080192881</v>
      </c>
      <c r="I393" s="17"/>
      <c r="J393" s="17"/>
      <c r="K393" s="17"/>
      <c r="L393" s="17"/>
    </row>
    <row r="394" spans="3:12" x14ac:dyDescent="0.25">
      <c r="C394" s="31">
        <f t="shared" ref="C394:D413" ca="1" si="27">_xlfn.NORM.INV(RAND(),C$4,C$5)</f>
        <v>63.608599203868486</v>
      </c>
      <c r="D394" s="31">
        <f t="shared" ca="1" si="27"/>
        <v>149.30694558765558</v>
      </c>
      <c r="E394" s="32">
        <v>59.712662838824379</v>
      </c>
      <c r="F394" s="32">
        <v>128.42048805086941</v>
      </c>
      <c r="I394" s="17"/>
      <c r="J394" s="17"/>
      <c r="K394" s="17"/>
      <c r="L394" s="17"/>
    </row>
    <row r="395" spans="3:12" x14ac:dyDescent="0.25">
      <c r="C395" s="31">
        <f t="shared" ca="1" si="27"/>
        <v>59.820141542195088</v>
      </c>
      <c r="D395" s="31">
        <f t="shared" ca="1" si="27"/>
        <v>125.73685048723372</v>
      </c>
      <c r="E395" s="32">
        <v>54.856401678684563</v>
      </c>
      <c r="F395" s="32">
        <v>113.7599070492314</v>
      </c>
      <c r="I395" s="17"/>
      <c r="J395" s="17"/>
      <c r="K395" s="17"/>
      <c r="L395" s="17"/>
    </row>
    <row r="396" spans="3:12" x14ac:dyDescent="0.25">
      <c r="C396" s="31">
        <f t="shared" ca="1" si="27"/>
        <v>63.225644163130511</v>
      </c>
      <c r="D396" s="31">
        <f t="shared" ca="1" si="27"/>
        <v>109.10721152627933</v>
      </c>
      <c r="E396" s="32">
        <v>42.257145185991376</v>
      </c>
      <c r="F396" s="32">
        <v>122.04433464719904</v>
      </c>
      <c r="I396" s="17"/>
      <c r="J396" s="17"/>
      <c r="K396" s="17"/>
      <c r="L396" s="17"/>
    </row>
    <row r="397" spans="3:12" x14ac:dyDescent="0.25">
      <c r="C397" s="31">
        <f t="shared" ca="1" si="27"/>
        <v>71.410220642931222</v>
      </c>
      <c r="D397" s="31">
        <f t="shared" ca="1" si="27"/>
        <v>111.71836302371848</v>
      </c>
      <c r="E397" s="32">
        <v>71.475002363330361</v>
      </c>
      <c r="F397" s="32">
        <v>107.49084784457877</v>
      </c>
      <c r="I397" s="17"/>
      <c r="J397" s="17"/>
      <c r="K397" s="17"/>
      <c r="L397" s="17"/>
    </row>
    <row r="398" spans="3:12" x14ac:dyDescent="0.25">
      <c r="C398" s="31">
        <f t="shared" ca="1" si="27"/>
        <v>58.683220137363264</v>
      </c>
      <c r="D398" s="31">
        <f t="shared" ca="1" si="27"/>
        <v>105.40224945464983</v>
      </c>
      <c r="E398" s="32">
        <v>41.615858017845369</v>
      </c>
      <c r="F398" s="32">
        <v>116.78732989520431</v>
      </c>
      <c r="I398" s="17"/>
      <c r="J398" s="17"/>
      <c r="K398" s="17"/>
      <c r="L398" s="17"/>
    </row>
    <row r="399" spans="3:12" x14ac:dyDescent="0.25">
      <c r="C399" s="31">
        <f t="shared" ca="1" si="27"/>
        <v>65.495990086064921</v>
      </c>
      <c r="D399" s="31">
        <f t="shared" ca="1" si="27"/>
        <v>119.96159693530262</v>
      </c>
      <c r="E399" s="32">
        <v>69.669699503139398</v>
      </c>
      <c r="F399" s="32">
        <v>75.700520214521077</v>
      </c>
      <c r="I399" s="17"/>
      <c r="J399" s="17"/>
      <c r="K399" s="17"/>
      <c r="L399" s="17"/>
    </row>
    <row r="400" spans="3:12" x14ac:dyDescent="0.25">
      <c r="C400" s="31">
        <f t="shared" ca="1" si="27"/>
        <v>59.061901422550335</v>
      </c>
      <c r="D400" s="31">
        <f t="shared" ca="1" si="27"/>
        <v>117.22960636908577</v>
      </c>
      <c r="E400" s="32">
        <v>60.061935889733157</v>
      </c>
      <c r="F400" s="32">
        <v>113.87262147181276</v>
      </c>
      <c r="I400" s="17"/>
      <c r="J400" s="17"/>
      <c r="K400" s="17"/>
      <c r="L400" s="17"/>
    </row>
    <row r="401" spans="3:12" x14ac:dyDescent="0.25">
      <c r="C401" s="31">
        <f t="shared" ca="1" si="27"/>
        <v>49.402687046150781</v>
      </c>
      <c r="D401" s="31">
        <f t="shared" ca="1" si="27"/>
        <v>108.15952365130242</v>
      </c>
      <c r="E401" s="32">
        <v>70.05797151617432</v>
      </c>
      <c r="F401" s="32">
        <v>123.52277718652394</v>
      </c>
      <c r="I401" s="17"/>
      <c r="J401" s="17"/>
      <c r="K401" s="17"/>
      <c r="L401" s="17"/>
    </row>
    <row r="402" spans="3:12" x14ac:dyDescent="0.25">
      <c r="C402" s="31">
        <f t="shared" ca="1" si="27"/>
        <v>51.601930513040813</v>
      </c>
      <c r="D402" s="31">
        <f t="shared" ca="1" si="27"/>
        <v>97.376430861098981</v>
      </c>
      <c r="E402" s="32">
        <v>60.851441103933986</v>
      </c>
      <c r="F402" s="32">
        <v>107.35839539934435</v>
      </c>
      <c r="I402" s="17"/>
      <c r="J402" s="17"/>
      <c r="K402" s="17"/>
      <c r="L402" s="17"/>
    </row>
    <row r="403" spans="3:12" x14ac:dyDescent="0.25">
      <c r="C403" s="31">
        <f t="shared" ca="1" si="27"/>
        <v>67.14493682838885</v>
      </c>
      <c r="D403" s="31">
        <f t="shared" ca="1" si="27"/>
        <v>139.25118466898573</v>
      </c>
      <c r="E403" s="32">
        <v>62.97737123586753</v>
      </c>
      <c r="F403" s="32">
        <v>146.77674267985816</v>
      </c>
      <c r="I403" s="17"/>
      <c r="J403" s="17"/>
      <c r="K403" s="17"/>
      <c r="L403" s="17"/>
    </row>
    <row r="404" spans="3:12" x14ac:dyDescent="0.25">
      <c r="C404" s="31">
        <f t="shared" ca="1" si="27"/>
        <v>54.777806031334308</v>
      </c>
      <c r="D404" s="31">
        <f t="shared" ca="1" si="27"/>
        <v>84.750472820866065</v>
      </c>
      <c r="E404" s="32">
        <v>64.850769705264582</v>
      </c>
      <c r="F404" s="32">
        <v>106.76935166826847</v>
      </c>
      <c r="I404" s="17"/>
      <c r="J404" s="17"/>
      <c r="K404" s="17"/>
      <c r="L404" s="17"/>
    </row>
    <row r="405" spans="3:12" x14ac:dyDescent="0.25">
      <c r="C405" s="31">
        <f t="shared" ca="1" si="27"/>
        <v>63.636459136097038</v>
      </c>
      <c r="D405" s="31">
        <f t="shared" ca="1" si="27"/>
        <v>120.23604722268689</v>
      </c>
      <c r="E405" s="32">
        <v>66.02767522704363</v>
      </c>
      <c r="F405" s="32">
        <v>148.36956838917689</v>
      </c>
      <c r="I405" s="17"/>
      <c r="J405" s="17"/>
      <c r="K405" s="17"/>
      <c r="L405" s="17"/>
    </row>
    <row r="406" spans="3:12" x14ac:dyDescent="0.25">
      <c r="C406" s="31">
        <f t="shared" ca="1" si="27"/>
        <v>63.381303779743888</v>
      </c>
      <c r="D406" s="31">
        <f t="shared" ca="1" si="27"/>
        <v>118.56081073949191</v>
      </c>
      <c r="E406" s="32">
        <v>60.380218338054583</v>
      </c>
      <c r="F406" s="32">
        <v>125.07257944597008</v>
      </c>
      <c r="I406" s="17"/>
      <c r="J406" s="17"/>
      <c r="K406" s="17"/>
      <c r="L406" s="17"/>
    </row>
    <row r="407" spans="3:12" x14ac:dyDescent="0.25">
      <c r="C407" s="31">
        <f t="shared" ca="1" si="27"/>
        <v>52.410996834626005</v>
      </c>
      <c r="D407" s="31">
        <f t="shared" ca="1" si="27"/>
        <v>149.54564503484829</v>
      </c>
      <c r="E407" s="32">
        <v>54.353478681989031</v>
      </c>
      <c r="F407" s="32">
        <v>109.71296118887193</v>
      </c>
      <c r="I407" s="17"/>
      <c r="J407" s="17"/>
      <c r="K407" s="17"/>
      <c r="L407" s="17"/>
    </row>
    <row r="408" spans="3:12" x14ac:dyDescent="0.25">
      <c r="C408" s="31">
        <f t="shared" ca="1" si="27"/>
        <v>69.106261780324203</v>
      </c>
      <c r="D408" s="31">
        <f t="shared" ca="1" si="27"/>
        <v>112.92345958276303</v>
      </c>
      <c r="E408" s="32">
        <v>51.178386420572721</v>
      </c>
      <c r="F408" s="32">
        <v>101.14984500202836</v>
      </c>
      <c r="I408" s="17"/>
      <c r="J408" s="17"/>
      <c r="K408" s="17"/>
      <c r="L408" s="17"/>
    </row>
    <row r="409" spans="3:12" x14ac:dyDescent="0.25">
      <c r="C409" s="31">
        <f t="shared" ca="1" si="27"/>
        <v>40.301032051141469</v>
      </c>
      <c r="D409" s="31">
        <f t="shared" ca="1" si="27"/>
        <v>104.27235100091976</v>
      </c>
      <c r="E409" s="32">
        <v>64.262423027574727</v>
      </c>
      <c r="F409" s="32">
        <v>156.2219150646379</v>
      </c>
      <c r="I409" s="17"/>
      <c r="J409" s="17"/>
      <c r="K409" s="17"/>
      <c r="L409" s="17"/>
    </row>
    <row r="410" spans="3:12" x14ac:dyDescent="0.25">
      <c r="C410" s="31">
        <f t="shared" ca="1" si="27"/>
        <v>45.245708547387565</v>
      </c>
      <c r="D410" s="31">
        <f t="shared" ca="1" si="27"/>
        <v>123.20077793838736</v>
      </c>
      <c r="E410" s="32">
        <v>41.26965919483488</v>
      </c>
      <c r="F410" s="32">
        <v>120.07434491865978</v>
      </c>
      <c r="I410" s="17"/>
      <c r="J410" s="17"/>
      <c r="K410" s="17"/>
      <c r="L410" s="17"/>
    </row>
    <row r="411" spans="3:12" x14ac:dyDescent="0.25">
      <c r="C411" s="31">
        <f t="shared" ca="1" si="27"/>
        <v>54.684465302258644</v>
      </c>
      <c r="D411" s="31">
        <f t="shared" ca="1" si="27"/>
        <v>102.47944249367282</v>
      </c>
      <c r="E411" s="32">
        <v>58.163435565040487</v>
      </c>
      <c r="F411" s="32">
        <v>85.228045381270249</v>
      </c>
      <c r="I411" s="17"/>
      <c r="J411" s="17"/>
      <c r="K411" s="17"/>
      <c r="L411" s="17"/>
    </row>
    <row r="412" spans="3:12" x14ac:dyDescent="0.25">
      <c r="C412" s="31">
        <f t="shared" ca="1" si="27"/>
        <v>64.275345711177366</v>
      </c>
      <c r="D412" s="31">
        <f t="shared" ca="1" si="27"/>
        <v>120.49701282407931</v>
      </c>
      <c r="E412" s="32">
        <v>58.010392367397799</v>
      </c>
      <c r="F412" s="32">
        <v>129.61357431220765</v>
      </c>
      <c r="I412" s="17"/>
      <c r="J412" s="17"/>
      <c r="K412" s="17"/>
      <c r="L412" s="17"/>
    </row>
    <row r="413" spans="3:12" x14ac:dyDescent="0.25">
      <c r="C413" s="31">
        <f t="shared" ca="1" si="27"/>
        <v>60.91829686282329</v>
      </c>
      <c r="D413" s="31">
        <f t="shared" ca="1" si="27"/>
        <v>94.402087713279769</v>
      </c>
      <c r="E413" s="32">
        <v>60.231046826727635</v>
      </c>
      <c r="F413" s="32">
        <v>138.94215458304535</v>
      </c>
      <c r="I413" s="17"/>
      <c r="J413" s="17"/>
      <c r="K413" s="17"/>
      <c r="L413" s="17"/>
    </row>
    <row r="414" spans="3:12" x14ac:dyDescent="0.25">
      <c r="C414" s="31">
        <f t="shared" ref="C414:D433" ca="1" si="28">_xlfn.NORM.INV(RAND(),C$4,C$5)</f>
        <v>47.847813213908779</v>
      </c>
      <c r="D414" s="31">
        <f t="shared" ca="1" si="28"/>
        <v>120.2780338792158</v>
      </c>
      <c r="E414" s="32">
        <v>56.851418367982092</v>
      </c>
      <c r="F414" s="32">
        <v>105.08287011545166</v>
      </c>
      <c r="I414" s="17"/>
      <c r="J414" s="17"/>
      <c r="K414" s="17"/>
      <c r="L414" s="17"/>
    </row>
    <row r="415" spans="3:12" x14ac:dyDescent="0.25">
      <c r="C415" s="31">
        <f t="shared" ca="1" si="28"/>
        <v>63.048896578560182</v>
      </c>
      <c r="D415" s="31">
        <f t="shared" ca="1" si="28"/>
        <v>84.218488225297307</v>
      </c>
      <c r="E415" s="32">
        <v>44.943604620046202</v>
      </c>
      <c r="F415" s="32">
        <v>132.12152817841601</v>
      </c>
      <c r="I415" s="17"/>
      <c r="J415" s="17"/>
      <c r="K415" s="17"/>
      <c r="L415" s="17"/>
    </row>
    <row r="416" spans="3:12" x14ac:dyDescent="0.25">
      <c r="C416" s="31">
        <f t="shared" ca="1" si="28"/>
        <v>76.429164992883983</v>
      </c>
      <c r="D416" s="31">
        <f t="shared" ca="1" si="28"/>
        <v>141.39929858372372</v>
      </c>
      <c r="E416" s="32">
        <v>57.446183413444608</v>
      </c>
      <c r="F416" s="32">
        <v>124.16599759026414</v>
      </c>
      <c r="I416" s="17"/>
      <c r="J416" s="17"/>
      <c r="K416" s="17"/>
      <c r="L416" s="17"/>
    </row>
    <row r="417" spans="3:12" x14ac:dyDescent="0.25">
      <c r="C417" s="31">
        <f t="shared" ca="1" si="28"/>
        <v>62.503970359793982</v>
      </c>
      <c r="D417" s="31">
        <f t="shared" ca="1" si="28"/>
        <v>125.8482589676909</v>
      </c>
      <c r="E417" s="32">
        <v>60.606826034209313</v>
      </c>
      <c r="F417" s="32">
        <v>99.244854237414472</v>
      </c>
      <c r="I417" s="17"/>
      <c r="J417" s="17"/>
      <c r="K417" s="17"/>
      <c r="L417" s="17"/>
    </row>
    <row r="418" spans="3:12" x14ac:dyDescent="0.25">
      <c r="C418" s="31">
        <f t="shared" ca="1" si="28"/>
        <v>68.221349512043702</v>
      </c>
      <c r="D418" s="31">
        <f t="shared" ca="1" si="28"/>
        <v>133.20223011265099</v>
      </c>
      <c r="E418" s="32">
        <v>49.17412592265454</v>
      </c>
      <c r="F418" s="32">
        <v>91.428123759782522</v>
      </c>
      <c r="I418" s="17"/>
      <c r="J418" s="17"/>
      <c r="K418" s="17"/>
      <c r="L418" s="17"/>
    </row>
    <row r="419" spans="3:12" x14ac:dyDescent="0.25">
      <c r="C419" s="31">
        <f t="shared" ca="1" si="28"/>
        <v>40.520706321020825</v>
      </c>
      <c r="D419" s="31">
        <f t="shared" ca="1" si="28"/>
        <v>123.67723804007133</v>
      </c>
      <c r="E419" s="32">
        <v>45.156976849041371</v>
      </c>
      <c r="F419" s="32">
        <v>106.1747732713097</v>
      </c>
      <c r="I419" s="17"/>
      <c r="J419" s="17"/>
      <c r="K419" s="17"/>
      <c r="L419" s="17"/>
    </row>
    <row r="420" spans="3:12" x14ac:dyDescent="0.25">
      <c r="C420" s="31">
        <f t="shared" ca="1" si="28"/>
        <v>65.933732277532073</v>
      </c>
      <c r="D420" s="31">
        <f t="shared" ca="1" si="28"/>
        <v>95.136496622206423</v>
      </c>
      <c r="E420" s="32">
        <v>69.120649392972084</v>
      </c>
      <c r="F420" s="32">
        <v>122.75090617770435</v>
      </c>
      <c r="I420" s="17"/>
      <c r="J420" s="17"/>
      <c r="K420" s="17"/>
      <c r="L420" s="17"/>
    </row>
    <row r="421" spans="3:12" x14ac:dyDescent="0.25">
      <c r="C421" s="31">
        <f t="shared" ca="1" si="28"/>
        <v>64.834992202070396</v>
      </c>
      <c r="D421" s="31">
        <f t="shared" ca="1" si="28"/>
        <v>135.71559588446672</v>
      </c>
      <c r="E421" s="32">
        <v>47.387280993618035</v>
      </c>
      <c r="F421" s="32">
        <v>116.56061722797079</v>
      </c>
      <c r="I421" s="17"/>
      <c r="J421" s="17"/>
      <c r="K421" s="17"/>
      <c r="L421" s="17"/>
    </row>
    <row r="422" spans="3:12" x14ac:dyDescent="0.25">
      <c r="C422" s="31">
        <f t="shared" ca="1" si="28"/>
        <v>51.863214273821242</v>
      </c>
      <c r="D422" s="31">
        <f t="shared" ca="1" si="28"/>
        <v>86.944193548369768</v>
      </c>
      <c r="E422" s="32">
        <v>63.920047112824513</v>
      </c>
      <c r="F422" s="32">
        <v>110.55690544330528</v>
      </c>
      <c r="I422" s="17"/>
      <c r="J422" s="17"/>
      <c r="K422" s="17"/>
      <c r="L422" s="17"/>
    </row>
    <row r="423" spans="3:12" x14ac:dyDescent="0.25">
      <c r="C423" s="31">
        <f t="shared" ca="1" si="28"/>
        <v>64.622097473548777</v>
      </c>
      <c r="D423" s="31">
        <f t="shared" ca="1" si="28"/>
        <v>100.62481944288945</v>
      </c>
      <c r="E423" s="32">
        <v>52.288790067881479</v>
      </c>
      <c r="F423" s="32">
        <v>134.51867322979157</v>
      </c>
      <c r="I423" s="17"/>
      <c r="J423" s="17"/>
      <c r="K423" s="17"/>
      <c r="L423" s="17"/>
    </row>
    <row r="424" spans="3:12" x14ac:dyDescent="0.25">
      <c r="C424" s="31">
        <f t="shared" ca="1" si="28"/>
        <v>55.165794256232132</v>
      </c>
      <c r="D424" s="31">
        <f t="shared" ca="1" si="28"/>
        <v>135.62827238463254</v>
      </c>
      <c r="E424" s="32">
        <v>81.30302175703352</v>
      </c>
      <c r="F424" s="32">
        <v>78.583154523034011</v>
      </c>
      <c r="I424" s="17"/>
      <c r="J424" s="17"/>
      <c r="K424" s="17"/>
      <c r="L424" s="17"/>
    </row>
    <row r="425" spans="3:12" x14ac:dyDescent="0.25">
      <c r="C425" s="31">
        <f t="shared" ca="1" si="28"/>
        <v>59.162468351399795</v>
      </c>
      <c r="D425" s="31">
        <f t="shared" ca="1" si="28"/>
        <v>119.02247779707304</v>
      </c>
      <c r="E425" s="32">
        <v>71.185920900563687</v>
      </c>
      <c r="F425" s="32">
        <v>83.838156411385711</v>
      </c>
      <c r="I425" s="17"/>
      <c r="J425" s="17"/>
      <c r="K425" s="17"/>
      <c r="L425" s="17"/>
    </row>
    <row r="426" spans="3:12" x14ac:dyDescent="0.25">
      <c r="C426" s="31">
        <f t="shared" ca="1" si="28"/>
        <v>61.366879394735363</v>
      </c>
      <c r="D426" s="31">
        <f t="shared" ca="1" si="28"/>
        <v>101.36897365471252</v>
      </c>
      <c r="E426" s="32">
        <v>58.988935489618015</v>
      </c>
      <c r="F426" s="32">
        <v>124.82444589454373</v>
      </c>
      <c r="I426" s="17"/>
      <c r="J426" s="17"/>
      <c r="K426" s="17"/>
      <c r="L426" s="17"/>
    </row>
    <row r="427" spans="3:12" x14ac:dyDescent="0.25">
      <c r="C427" s="31">
        <f t="shared" ca="1" si="28"/>
        <v>70.539891734723682</v>
      </c>
      <c r="D427" s="31">
        <f t="shared" ca="1" si="28"/>
        <v>72.486305107221369</v>
      </c>
      <c r="E427" s="32">
        <v>72.218372189670802</v>
      </c>
      <c r="F427" s="32">
        <v>96.656747017276587</v>
      </c>
      <c r="I427" s="17"/>
      <c r="J427" s="17"/>
      <c r="K427" s="17"/>
      <c r="L427" s="17"/>
    </row>
    <row r="428" spans="3:12" x14ac:dyDescent="0.25">
      <c r="C428" s="31">
        <f t="shared" ca="1" si="28"/>
        <v>43.127825222030197</v>
      </c>
      <c r="D428" s="31">
        <f t="shared" ca="1" si="28"/>
        <v>127.98815109879637</v>
      </c>
      <c r="E428" s="32">
        <v>48.465637882338044</v>
      </c>
      <c r="F428" s="32">
        <v>88.814561716173472</v>
      </c>
      <c r="I428" s="17"/>
      <c r="J428" s="17"/>
      <c r="K428" s="17"/>
      <c r="L428" s="17"/>
    </row>
    <row r="429" spans="3:12" x14ac:dyDescent="0.25">
      <c r="C429" s="31">
        <f t="shared" ca="1" si="28"/>
        <v>74.75263707120844</v>
      </c>
      <c r="D429" s="31">
        <f t="shared" ca="1" si="28"/>
        <v>93.846927461777312</v>
      </c>
      <c r="E429" s="32">
        <v>82.280587148870865</v>
      </c>
      <c r="F429" s="32">
        <v>115.93369157670129</v>
      </c>
      <c r="I429" s="17"/>
      <c r="J429" s="17"/>
      <c r="K429" s="17"/>
      <c r="L429" s="17"/>
    </row>
    <row r="430" spans="3:12" x14ac:dyDescent="0.25">
      <c r="C430" s="31">
        <f t="shared" ca="1" si="28"/>
        <v>68.20309863357393</v>
      </c>
      <c r="D430" s="31">
        <f t="shared" ca="1" si="28"/>
        <v>91.673184579597034</v>
      </c>
      <c r="E430" s="32">
        <v>47.231323087398081</v>
      </c>
      <c r="F430" s="32">
        <v>96.455595544613814</v>
      </c>
      <c r="I430" s="17"/>
      <c r="J430" s="17"/>
      <c r="K430" s="17"/>
      <c r="L430" s="17"/>
    </row>
    <row r="431" spans="3:12" x14ac:dyDescent="0.25">
      <c r="C431" s="31">
        <f t="shared" ca="1" si="28"/>
        <v>58.914027298793854</v>
      </c>
      <c r="D431" s="31">
        <f t="shared" ca="1" si="28"/>
        <v>101.25475478019322</v>
      </c>
      <c r="E431" s="32">
        <v>63.034277269369305</v>
      </c>
      <c r="F431" s="32">
        <v>129.7819428716345</v>
      </c>
      <c r="I431" s="17"/>
      <c r="J431" s="17"/>
      <c r="K431" s="17"/>
      <c r="L431" s="17"/>
    </row>
    <row r="432" spans="3:12" x14ac:dyDescent="0.25">
      <c r="C432" s="31">
        <f t="shared" ca="1" si="28"/>
        <v>62.922927545328058</v>
      </c>
      <c r="D432" s="31">
        <f t="shared" ca="1" si="28"/>
        <v>139.14591910514767</v>
      </c>
      <c r="E432" s="32">
        <v>64.702647609157736</v>
      </c>
      <c r="F432" s="32">
        <v>135.89437382274869</v>
      </c>
      <c r="I432" s="17"/>
      <c r="J432" s="17"/>
      <c r="K432" s="17"/>
      <c r="L432" s="17"/>
    </row>
    <row r="433" spans="3:12" x14ac:dyDescent="0.25">
      <c r="C433" s="31">
        <f t="shared" ca="1" si="28"/>
        <v>70.80138030855683</v>
      </c>
      <c r="D433" s="31">
        <f t="shared" ca="1" si="28"/>
        <v>126.92558702564254</v>
      </c>
      <c r="E433" s="32">
        <v>32.56936961183105</v>
      </c>
      <c r="F433" s="32">
        <v>84.586352012837665</v>
      </c>
      <c r="I433" s="17"/>
      <c r="J433" s="17"/>
      <c r="K433" s="17"/>
      <c r="L433" s="17"/>
    </row>
    <row r="434" spans="3:12" x14ac:dyDescent="0.25">
      <c r="C434" s="31">
        <f t="shared" ref="C434:D453" ca="1" si="29">_xlfn.NORM.INV(RAND(),C$4,C$5)</f>
        <v>54.152343453220126</v>
      </c>
      <c r="D434" s="31">
        <f t="shared" ca="1" si="29"/>
        <v>115.2008186483264</v>
      </c>
      <c r="E434" s="32">
        <v>60.198528974332731</v>
      </c>
      <c r="F434" s="32">
        <v>100.20824026333008</v>
      </c>
      <c r="I434" s="17"/>
      <c r="J434" s="17"/>
      <c r="K434" s="17"/>
      <c r="L434" s="17"/>
    </row>
    <row r="435" spans="3:12" x14ac:dyDescent="0.25">
      <c r="C435" s="31">
        <f t="shared" ca="1" si="29"/>
        <v>66.428097837723371</v>
      </c>
      <c r="D435" s="31">
        <f t="shared" ca="1" si="29"/>
        <v>107.27829251591666</v>
      </c>
      <c r="E435" s="32">
        <v>58.435753956295109</v>
      </c>
      <c r="F435" s="32">
        <v>86.484336395094999</v>
      </c>
      <c r="I435" s="17"/>
      <c r="J435" s="17"/>
      <c r="K435" s="17"/>
      <c r="L435" s="17"/>
    </row>
    <row r="436" spans="3:12" x14ac:dyDescent="0.25">
      <c r="C436" s="31">
        <f t="shared" ca="1" si="29"/>
        <v>44.224196541032072</v>
      </c>
      <c r="D436" s="31">
        <f t="shared" ca="1" si="29"/>
        <v>85.793601272926182</v>
      </c>
      <c r="E436" s="32">
        <v>61.249834537013548</v>
      </c>
      <c r="F436" s="32">
        <v>114.71593718454089</v>
      </c>
      <c r="I436" s="17"/>
      <c r="J436" s="17"/>
      <c r="K436" s="17"/>
      <c r="L436" s="17"/>
    </row>
    <row r="437" spans="3:12" x14ac:dyDescent="0.25">
      <c r="C437" s="31">
        <f t="shared" ca="1" si="29"/>
        <v>65.051456989026775</v>
      </c>
      <c r="D437" s="31">
        <f t="shared" ca="1" si="29"/>
        <v>139.49644271462202</v>
      </c>
      <c r="E437" s="32">
        <v>73.471928392122607</v>
      </c>
      <c r="F437" s="32">
        <v>94.438888306499337</v>
      </c>
      <c r="I437" s="17"/>
      <c r="J437" s="17"/>
      <c r="K437" s="17"/>
      <c r="L437" s="17"/>
    </row>
    <row r="438" spans="3:12" x14ac:dyDescent="0.25">
      <c r="C438" s="31">
        <f t="shared" ca="1" si="29"/>
        <v>55.789507443310541</v>
      </c>
      <c r="D438" s="31">
        <f t="shared" ca="1" si="29"/>
        <v>94.611287808106709</v>
      </c>
      <c r="E438" s="32">
        <v>54.416849230556437</v>
      </c>
      <c r="F438" s="32">
        <v>124.74550053781162</v>
      </c>
      <c r="I438" s="17"/>
      <c r="J438" s="17"/>
      <c r="K438" s="17"/>
      <c r="L438" s="17"/>
    </row>
    <row r="439" spans="3:12" x14ac:dyDescent="0.25">
      <c r="C439" s="31">
        <f t="shared" ca="1" si="29"/>
        <v>53.254383963294202</v>
      </c>
      <c r="D439" s="31">
        <f t="shared" ca="1" si="29"/>
        <v>112.25893195548952</v>
      </c>
      <c r="E439" s="32">
        <v>72.682103178365409</v>
      </c>
      <c r="F439" s="32">
        <v>135.94356066078839</v>
      </c>
      <c r="I439" s="17"/>
      <c r="J439" s="17"/>
      <c r="K439" s="17"/>
      <c r="L439" s="17"/>
    </row>
    <row r="440" spans="3:12" x14ac:dyDescent="0.25">
      <c r="C440" s="31">
        <f t="shared" ca="1" si="29"/>
        <v>49.594830188961936</v>
      </c>
      <c r="D440" s="31">
        <f t="shared" ca="1" si="29"/>
        <v>105.56281064062929</v>
      </c>
      <c r="E440" s="32">
        <v>57.328045392726445</v>
      </c>
      <c r="F440" s="32">
        <v>141.49152717332663</v>
      </c>
      <c r="I440" s="17"/>
      <c r="J440" s="17"/>
      <c r="K440" s="17"/>
      <c r="L440" s="17"/>
    </row>
    <row r="441" spans="3:12" x14ac:dyDescent="0.25">
      <c r="C441" s="31">
        <f t="shared" ca="1" si="29"/>
        <v>72.765297776162697</v>
      </c>
      <c r="D441" s="31">
        <f t="shared" ca="1" si="29"/>
        <v>108.55274852899475</v>
      </c>
      <c r="E441" s="32">
        <v>51.879949290451663</v>
      </c>
      <c r="F441" s="32">
        <v>81.224241806140427</v>
      </c>
      <c r="I441" s="17"/>
      <c r="J441" s="17"/>
      <c r="K441" s="17"/>
      <c r="L441" s="17"/>
    </row>
    <row r="442" spans="3:12" x14ac:dyDescent="0.25">
      <c r="C442" s="31">
        <f t="shared" ca="1" si="29"/>
        <v>58.984526535319731</v>
      </c>
      <c r="D442" s="31">
        <f t="shared" ca="1" si="29"/>
        <v>120.68678121463894</v>
      </c>
      <c r="E442" s="32">
        <v>44.441927154689083</v>
      </c>
      <c r="F442" s="32">
        <v>119.9374385835725</v>
      </c>
      <c r="I442" s="17"/>
      <c r="J442" s="17"/>
      <c r="K442" s="17"/>
      <c r="L442" s="17"/>
    </row>
    <row r="443" spans="3:12" x14ac:dyDescent="0.25">
      <c r="C443" s="31">
        <f t="shared" ca="1" si="29"/>
        <v>47.989065956156978</v>
      </c>
      <c r="D443" s="31">
        <f t="shared" ca="1" si="29"/>
        <v>122.50756173695041</v>
      </c>
      <c r="E443" s="32">
        <v>39.169112364903924</v>
      </c>
      <c r="F443" s="32">
        <v>139.41034608120142</v>
      </c>
      <c r="I443" s="17"/>
      <c r="J443" s="17"/>
      <c r="K443" s="17"/>
      <c r="L443" s="17"/>
    </row>
    <row r="444" spans="3:12" x14ac:dyDescent="0.25">
      <c r="C444" s="31">
        <f t="shared" ca="1" si="29"/>
        <v>52.755276715013707</v>
      </c>
      <c r="D444" s="31">
        <f t="shared" ca="1" si="29"/>
        <v>112.40103003834005</v>
      </c>
      <c r="E444" s="32">
        <v>73.90811595886251</v>
      </c>
      <c r="F444" s="32">
        <v>120.87122276882906</v>
      </c>
      <c r="I444" s="17"/>
      <c r="J444" s="17"/>
      <c r="K444" s="17"/>
      <c r="L444" s="17"/>
    </row>
    <row r="445" spans="3:12" x14ac:dyDescent="0.25">
      <c r="C445" s="31">
        <f t="shared" ca="1" si="29"/>
        <v>64.988629120076737</v>
      </c>
      <c r="D445" s="31">
        <f t="shared" ca="1" si="29"/>
        <v>106.8865245430633</v>
      </c>
      <c r="E445" s="32">
        <v>71.59993139463451</v>
      </c>
      <c r="F445" s="32">
        <v>97.974770925431557</v>
      </c>
      <c r="I445" s="17"/>
      <c r="J445" s="17"/>
      <c r="K445" s="17"/>
      <c r="L445" s="17"/>
    </row>
    <row r="446" spans="3:12" x14ac:dyDescent="0.25">
      <c r="C446" s="31">
        <f t="shared" ca="1" si="29"/>
        <v>57.674046107188531</v>
      </c>
      <c r="D446" s="31">
        <f t="shared" ca="1" si="29"/>
        <v>112.40928994916082</v>
      </c>
      <c r="E446" s="32">
        <v>49.346100292036994</v>
      </c>
      <c r="F446" s="32">
        <v>148.84564148633308</v>
      </c>
      <c r="I446" s="17"/>
      <c r="J446" s="17"/>
      <c r="K446" s="17"/>
      <c r="L446" s="17"/>
    </row>
    <row r="447" spans="3:12" x14ac:dyDescent="0.25">
      <c r="C447" s="31">
        <f t="shared" ca="1" si="29"/>
        <v>50.060511522065291</v>
      </c>
      <c r="D447" s="31">
        <f t="shared" ca="1" si="29"/>
        <v>121.19953728215697</v>
      </c>
      <c r="E447" s="32">
        <v>47.840492836641623</v>
      </c>
      <c r="F447" s="32">
        <v>126.39757976495696</v>
      </c>
      <c r="I447" s="17"/>
      <c r="J447" s="17"/>
      <c r="K447" s="17"/>
      <c r="L447" s="17"/>
    </row>
    <row r="448" spans="3:12" x14ac:dyDescent="0.25">
      <c r="C448" s="31">
        <f t="shared" ca="1" si="29"/>
        <v>75.256045375740001</v>
      </c>
      <c r="D448" s="31">
        <f t="shared" ca="1" si="29"/>
        <v>107.97062439707726</v>
      </c>
      <c r="E448" s="32">
        <v>58.412946863144519</v>
      </c>
      <c r="F448" s="32">
        <v>135.25607734303992</v>
      </c>
      <c r="I448" s="17"/>
      <c r="J448" s="17"/>
      <c r="K448" s="17"/>
      <c r="L448" s="17"/>
    </row>
    <row r="449" spans="3:12" x14ac:dyDescent="0.25">
      <c r="C449" s="31">
        <f t="shared" ca="1" si="29"/>
        <v>63.967303696944576</v>
      </c>
      <c r="D449" s="31">
        <f t="shared" ca="1" si="29"/>
        <v>91.902721242540039</v>
      </c>
      <c r="E449" s="32">
        <v>62.232199705994354</v>
      </c>
      <c r="F449" s="32">
        <v>112.22894689629734</v>
      </c>
      <c r="I449" s="17"/>
      <c r="J449" s="17"/>
      <c r="K449" s="17"/>
      <c r="L449" s="17"/>
    </row>
    <row r="450" spans="3:12" x14ac:dyDescent="0.25">
      <c r="C450" s="31">
        <f t="shared" ca="1" si="29"/>
        <v>59.894802266039797</v>
      </c>
      <c r="D450" s="31">
        <f t="shared" ca="1" si="29"/>
        <v>122.09551851977857</v>
      </c>
      <c r="E450" s="32">
        <v>46.589016322889847</v>
      </c>
      <c r="F450" s="32">
        <v>130.77784166475317</v>
      </c>
      <c r="I450" s="17"/>
      <c r="J450" s="17"/>
      <c r="K450" s="17"/>
      <c r="L450" s="17"/>
    </row>
    <row r="451" spans="3:12" x14ac:dyDescent="0.25">
      <c r="C451" s="31">
        <f t="shared" ca="1" si="29"/>
        <v>62.290079053651276</v>
      </c>
      <c r="D451" s="31">
        <f t="shared" ca="1" si="29"/>
        <v>91.722430327625261</v>
      </c>
      <c r="E451" s="32">
        <v>54.618563332501488</v>
      </c>
      <c r="F451" s="32">
        <v>119.29701294863082</v>
      </c>
      <c r="I451" s="17"/>
      <c r="J451" s="17"/>
      <c r="K451" s="17"/>
      <c r="L451" s="17"/>
    </row>
    <row r="452" spans="3:12" x14ac:dyDescent="0.25">
      <c r="C452" s="31">
        <f t="shared" ca="1" si="29"/>
        <v>82.944356045470727</v>
      </c>
      <c r="D452" s="31">
        <f t="shared" ca="1" si="29"/>
        <v>122.70411865932617</v>
      </c>
      <c r="E452" s="32">
        <v>52.644008454340465</v>
      </c>
      <c r="F452" s="32">
        <v>135.81912399047084</v>
      </c>
      <c r="I452" s="17"/>
      <c r="J452" s="17"/>
      <c r="K452" s="17"/>
      <c r="L452" s="17"/>
    </row>
    <row r="453" spans="3:12" x14ac:dyDescent="0.25">
      <c r="C453" s="31">
        <f t="shared" ca="1" si="29"/>
        <v>64.907492523886773</v>
      </c>
      <c r="D453" s="31">
        <f t="shared" ca="1" si="29"/>
        <v>118.77080210287295</v>
      </c>
      <c r="E453" s="32">
        <v>69.881044547782352</v>
      </c>
      <c r="F453" s="32">
        <v>116.44985765960607</v>
      </c>
      <c r="I453" s="17"/>
      <c r="J453" s="17"/>
      <c r="K453" s="17"/>
      <c r="L453" s="17"/>
    </row>
    <row r="454" spans="3:12" x14ac:dyDescent="0.25">
      <c r="C454" s="31">
        <f t="shared" ref="C454:D473" ca="1" si="30">_xlfn.NORM.INV(RAND(),C$4,C$5)</f>
        <v>72.373314407948612</v>
      </c>
      <c r="D454" s="31">
        <f t="shared" ca="1" si="30"/>
        <v>102.59659641526764</v>
      </c>
      <c r="E454" s="32">
        <v>64.768000336294179</v>
      </c>
      <c r="F454" s="32">
        <v>126.38956129115712</v>
      </c>
      <c r="I454" s="17"/>
      <c r="J454" s="17"/>
      <c r="K454" s="17"/>
      <c r="L454" s="17"/>
    </row>
    <row r="455" spans="3:12" x14ac:dyDescent="0.25">
      <c r="C455" s="31">
        <f t="shared" ca="1" si="30"/>
        <v>56.94825619959893</v>
      </c>
      <c r="D455" s="31">
        <f t="shared" ca="1" si="30"/>
        <v>153.94483110854659</v>
      </c>
      <c r="E455" s="32">
        <v>49.548717908082686</v>
      </c>
      <c r="F455" s="32">
        <v>120.03422247896897</v>
      </c>
      <c r="I455" s="17"/>
      <c r="J455" s="17"/>
      <c r="K455" s="17"/>
      <c r="L455" s="17"/>
    </row>
    <row r="456" spans="3:12" x14ac:dyDescent="0.25">
      <c r="C456" s="31">
        <f t="shared" ca="1" si="30"/>
        <v>63.865729910414139</v>
      </c>
      <c r="D456" s="31">
        <f t="shared" ca="1" si="30"/>
        <v>151.65995920489368</v>
      </c>
      <c r="E456" s="32">
        <v>59.644531266841639</v>
      </c>
      <c r="F456" s="32">
        <v>117.45695849368647</v>
      </c>
      <c r="I456" s="17"/>
      <c r="J456" s="17"/>
      <c r="K456" s="17"/>
      <c r="L456" s="17"/>
    </row>
    <row r="457" spans="3:12" x14ac:dyDescent="0.25">
      <c r="C457" s="31">
        <f t="shared" ca="1" si="30"/>
        <v>55.967322148882886</v>
      </c>
      <c r="D457" s="31">
        <f t="shared" ca="1" si="30"/>
        <v>125.53780593279922</v>
      </c>
      <c r="E457" s="32">
        <v>44.201261508048475</v>
      </c>
      <c r="F457" s="32">
        <v>104.57405231666553</v>
      </c>
      <c r="I457" s="17"/>
      <c r="J457" s="17"/>
      <c r="K457" s="17"/>
      <c r="L457" s="17"/>
    </row>
    <row r="458" spans="3:12" x14ac:dyDescent="0.25">
      <c r="C458" s="31">
        <f t="shared" ca="1" si="30"/>
        <v>71.482803746947454</v>
      </c>
      <c r="D458" s="31">
        <f t="shared" ca="1" si="30"/>
        <v>92.158663645410911</v>
      </c>
      <c r="E458" s="32">
        <v>53.893710532693596</v>
      </c>
      <c r="F458" s="32">
        <v>106.99686752472115</v>
      </c>
      <c r="I458" s="17"/>
      <c r="J458" s="17"/>
      <c r="K458" s="17"/>
      <c r="L458" s="17"/>
    </row>
    <row r="459" spans="3:12" x14ac:dyDescent="0.25">
      <c r="C459" s="31">
        <f t="shared" ca="1" si="30"/>
        <v>44.731191008016197</v>
      </c>
      <c r="D459" s="31">
        <f t="shared" ca="1" si="30"/>
        <v>103.76155839432036</v>
      </c>
      <c r="E459" s="32">
        <v>61.509213694288924</v>
      </c>
      <c r="F459" s="32">
        <v>100.84668734002425</v>
      </c>
      <c r="I459" s="17"/>
      <c r="J459" s="17"/>
      <c r="K459" s="17"/>
      <c r="L459" s="17"/>
    </row>
    <row r="460" spans="3:12" x14ac:dyDescent="0.25">
      <c r="C460" s="31">
        <f t="shared" ca="1" si="30"/>
        <v>66.316795356457177</v>
      </c>
      <c r="D460" s="31">
        <f t="shared" ca="1" si="30"/>
        <v>88.138072340953386</v>
      </c>
      <c r="E460" s="32">
        <v>57.825244341613669</v>
      </c>
      <c r="F460" s="32">
        <v>125.04550503191967</v>
      </c>
      <c r="I460" s="17"/>
      <c r="J460" s="17"/>
      <c r="K460" s="17"/>
      <c r="L460" s="17"/>
    </row>
    <row r="461" spans="3:12" x14ac:dyDescent="0.25">
      <c r="C461" s="31">
        <f t="shared" ca="1" si="30"/>
        <v>62.651691959142369</v>
      </c>
      <c r="D461" s="31">
        <f t="shared" ca="1" si="30"/>
        <v>74.904795119663902</v>
      </c>
      <c r="E461" s="32">
        <v>64.396765796016439</v>
      </c>
      <c r="F461" s="32">
        <v>116.82660958997108</v>
      </c>
      <c r="I461" s="17"/>
      <c r="J461" s="17"/>
      <c r="K461" s="17"/>
      <c r="L461" s="17"/>
    </row>
    <row r="462" spans="3:12" x14ac:dyDescent="0.25">
      <c r="C462" s="31">
        <f t="shared" ca="1" si="30"/>
        <v>47.683050812678175</v>
      </c>
      <c r="D462" s="31">
        <f t="shared" ca="1" si="30"/>
        <v>99.461570886754728</v>
      </c>
      <c r="E462" s="32">
        <v>85.192837967502797</v>
      </c>
      <c r="F462" s="32">
        <v>93.897958960186017</v>
      </c>
      <c r="I462" s="17"/>
      <c r="J462" s="17"/>
      <c r="K462" s="17"/>
      <c r="L462" s="17"/>
    </row>
    <row r="463" spans="3:12" x14ac:dyDescent="0.25">
      <c r="C463" s="31">
        <f t="shared" ca="1" si="30"/>
        <v>75.114065885230474</v>
      </c>
      <c r="D463" s="31">
        <f t="shared" ca="1" si="30"/>
        <v>141.82635190886174</v>
      </c>
      <c r="E463" s="32">
        <v>39.732505762792975</v>
      </c>
      <c r="F463" s="32">
        <v>129.53848771093146</v>
      </c>
      <c r="I463" s="17"/>
      <c r="J463" s="17"/>
      <c r="K463" s="17"/>
      <c r="L463" s="17"/>
    </row>
    <row r="464" spans="3:12" x14ac:dyDescent="0.25">
      <c r="C464" s="31">
        <f t="shared" ca="1" si="30"/>
        <v>45.752897956277906</v>
      </c>
      <c r="D464" s="31">
        <f t="shared" ca="1" si="30"/>
        <v>95.297841102347149</v>
      </c>
      <c r="E464" s="32">
        <v>64.478544284012116</v>
      </c>
      <c r="F464" s="32">
        <v>126.7092292753625</v>
      </c>
      <c r="I464" s="17"/>
      <c r="J464" s="17"/>
      <c r="K464" s="17"/>
      <c r="L464" s="17"/>
    </row>
    <row r="465" spans="3:12" x14ac:dyDescent="0.25">
      <c r="C465" s="31">
        <f t="shared" ca="1" si="30"/>
        <v>67.367254945853674</v>
      </c>
      <c r="D465" s="31">
        <f t="shared" ca="1" si="30"/>
        <v>137.97550733887823</v>
      </c>
      <c r="E465" s="32">
        <v>48.815022994323414</v>
      </c>
      <c r="F465" s="32">
        <v>116.96009805852376</v>
      </c>
      <c r="I465" s="17"/>
      <c r="J465" s="17"/>
      <c r="K465" s="17"/>
      <c r="L465" s="17"/>
    </row>
    <row r="466" spans="3:12" x14ac:dyDescent="0.25">
      <c r="C466" s="31">
        <f t="shared" ca="1" si="30"/>
        <v>53.653081048268653</v>
      </c>
      <c r="D466" s="31">
        <f t="shared" ca="1" si="30"/>
        <v>119.66536977100881</v>
      </c>
      <c r="E466" s="32">
        <v>64.156007351420158</v>
      </c>
      <c r="F466" s="32">
        <v>120.71677642826737</v>
      </c>
      <c r="I466" s="17"/>
      <c r="J466" s="17"/>
      <c r="K466" s="17"/>
      <c r="L466" s="17"/>
    </row>
    <row r="467" spans="3:12" x14ac:dyDescent="0.25">
      <c r="C467" s="31">
        <f t="shared" ca="1" si="30"/>
        <v>62.481890023547322</v>
      </c>
      <c r="D467" s="31">
        <f t="shared" ca="1" si="30"/>
        <v>118.71363054801533</v>
      </c>
      <c r="E467" s="32">
        <v>55.87933983340524</v>
      </c>
      <c r="F467" s="32">
        <v>108.8755106594207</v>
      </c>
      <c r="I467" s="17"/>
      <c r="J467" s="17"/>
      <c r="K467" s="17"/>
      <c r="L467" s="17"/>
    </row>
    <row r="468" spans="3:12" x14ac:dyDescent="0.25">
      <c r="C468" s="31">
        <f t="shared" ca="1" si="30"/>
        <v>65.805328665889405</v>
      </c>
      <c r="D468" s="31">
        <f t="shared" ca="1" si="30"/>
        <v>86.680457153923527</v>
      </c>
      <c r="E468" s="32">
        <v>65.227573252712247</v>
      </c>
      <c r="F468" s="32">
        <v>150.73787160938326</v>
      </c>
      <c r="I468" s="17"/>
      <c r="J468" s="17"/>
      <c r="K468" s="17"/>
      <c r="L468" s="17"/>
    </row>
    <row r="469" spans="3:12" x14ac:dyDescent="0.25">
      <c r="C469" s="31">
        <f t="shared" ca="1" si="30"/>
        <v>60.693619877377216</v>
      </c>
      <c r="D469" s="31">
        <f t="shared" ca="1" si="30"/>
        <v>103.99445656176928</v>
      </c>
      <c r="E469" s="32">
        <v>50.199742752716283</v>
      </c>
      <c r="F469" s="32">
        <v>98.730407857270123</v>
      </c>
      <c r="I469" s="17"/>
      <c r="J469" s="17"/>
      <c r="K469" s="17"/>
      <c r="L469" s="17"/>
    </row>
    <row r="470" spans="3:12" x14ac:dyDescent="0.25">
      <c r="C470" s="31">
        <f t="shared" ca="1" si="30"/>
        <v>73.095112383840302</v>
      </c>
      <c r="D470" s="31">
        <f t="shared" ca="1" si="30"/>
        <v>121.36053951038747</v>
      </c>
      <c r="E470" s="32">
        <v>60.253622863351026</v>
      </c>
      <c r="F470" s="32">
        <v>88.570470411015449</v>
      </c>
      <c r="I470" s="17"/>
      <c r="J470" s="17"/>
      <c r="K470" s="17"/>
      <c r="L470" s="17"/>
    </row>
    <row r="471" spans="3:12" x14ac:dyDescent="0.25">
      <c r="C471" s="31">
        <f t="shared" ca="1" si="30"/>
        <v>50.177523952817594</v>
      </c>
      <c r="D471" s="31">
        <f t="shared" ca="1" si="30"/>
        <v>130.39256279774943</v>
      </c>
      <c r="E471" s="32">
        <v>56.588909723757396</v>
      </c>
      <c r="F471" s="32">
        <v>112.06164737859297</v>
      </c>
      <c r="I471" s="17"/>
      <c r="J471" s="17"/>
      <c r="K471" s="17"/>
      <c r="L471" s="17"/>
    </row>
    <row r="472" spans="3:12" x14ac:dyDescent="0.25">
      <c r="C472" s="31">
        <f t="shared" ca="1" si="30"/>
        <v>43.105746678026755</v>
      </c>
      <c r="D472" s="31">
        <f t="shared" ca="1" si="30"/>
        <v>101.69476003188419</v>
      </c>
      <c r="E472" s="32">
        <v>51.429176004542775</v>
      </c>
      <c r="F472" s="32">
        <v>100.75174011863545</v>
      </c>
      <c r="I472" s="17"/>
      <c r="J472" s="17"/>
      <c r="K472" s="17"/>
      <c r="L472" s="17"/>
    </row>
    <row r="473" spans="3:12" x14ac:dyDescent="0.25">
      <c r="C473" s="31">
        <f t="shared" ca="1" si="30"/>
        <v>77.48178892768199</v>
      </c>
      <c r="D473" s="31">
        <f t="shared" ca="1" si="30"/>
        <v>138.69480746677206</v>
      </c>
      <c r="E473" s="32">
        <v>55.797237393956685</v>
      </c>
      <c r="F473" s="32">
        <v>176.39629572723555</v>
      </c>
      <c r="I473" s="17"/>
      <c r="J473" s="17"/>
      <c r="K473" s="17"/>
      <c r="L473" s="17"/>
    </row>
    <row r="474" spans="3:12" x14ac:dyDescent="0.25">
      <c r="C474" s="31">
        <f t="shared" ref="C474:D493" ca="1" si="31">_xlfn.NORM.INV(RAND(),C$4,C$5)</f>
        <v>72.295248349495836</v>
      </c>
      <c r="D474" s="31">
        <f t="shared" ca="1" si="31"/>
        <v>119.63302253283685</v>
      </c>
      <c r="E474" s="32">
        <v>31.654631282557784</v>
      </c>
      <c r="F474" s="32">
        <v>134.54278910046722</v>
      </c>
      <c r="I474" s="17"/>
      <c r="J474" s="17"/>
      <c r="K474" s="17"/>
      <c r="L474" s="17"/>
    </row>
    <row r="475" spans="3:12" x14ac:dyDescent="0.25">
      <c r="C475" s="31">
        <f t="shared" ca="1" si="31"/>
        <v>56.30149729929839</v>
      </c>
      <c r="D475" s="31">
        <f t="shared" ca="1" si="31"/>
        <v>120.59605202832688</v>
      </c>
      <c r="E475" s="32">
        <v>74.039482529687504</v>
      </c>
      <c r="F475" s="32">
        <v>92.009571642259118</v>
      </c>
      <c r="I475" s="17"/>
      <c r="J475" s="17"/>
      <c r="K475" s="17"/>
      <c r="L475" s="17"/>
    </row>
    <row r="476" spans="3:12" x14ac:dyDescent="0.25">
      <c r="C476" s="31">
        <f t="shared" ca="1" si="31"/>
        <v>66.04811807293126</v>
      </c>
      <c r="D476" s="31">
        <f t="shared" ca="1" si="31"/>
        <v>111.56188259941899</v>
      </c>
      <c r="E476" s="32">
        <v>70.700811780278343</v>
      </c>
      <c r="F476" s="32">
        <v>133.72424451894511</v>
      </c>
      <c r="I476" s="17"/>
      <c r="J476" s="17"/>
      <c r="K476" s="17"/>
      <c r="L476" s="17"/>
    </row>
    <row r="477" spans="3:12" x14ac:dyDescent="0.25">
      <c r="C477" s="31">
        <f t="shared" ca="1" si="31"/>
        <v>48.345688992795814</v>
      </c>
      <c r="D477" s="31">
        <f t="shared" ca="1" si="31"/>
        <v>109.42260193232156</v>
      </c>
      <c r="E477" s="32">
        <v>61.53156482884846</v>
      </c>
      <c r="F477" s="32">
        <v>86.92810469035139</v>
      </c>
      <c r="I477" s="17"/>
      <c r="J477" s="17"/>
      <c r="K477" s="17"/>
      <c r="L477" s="17"/>
    </row>
    <row r="478" spans="3:12" x14ac:dyDescent="0.25">
      <c r="C478" s="31">
        <f t="shared" ca="1" si="31"/>
        <v>56.117459579762738</v>
      </c>
      <c r="D478" s="31">
        <f t="shared" ca="1" si="31"/>
        <v>143.58999550157341</v>
      </c>
      <c r="E478" s="32">
        <v>71.366369637533495</v>
      </c>
      <c r="F478" s="32">
        <v>107.56912205502672</v>
      </c>
      <c r="I478" s="17"/>
      <c r="J478" s="17"/>
      <c r="K478" s="17"/>
      <c r="L478" s="17"/>
    </row>
    <row r="479" spans="3:12" x14ac:dyDescent="0.25">
      <c r="C479" s="31">
        <f t="shared" ca="1" si="31"/>
        <v>55.218988560104165</v>
      </c>
      <c r="D479" s="31">
        <f t="shared" ca="1" si="31"/>
        <v>129.80208022027523</v>
      </c>
      <c r="E479" s="32">
        <v>59.344516950509522</v>
      </c>
      <c r="F479" s="32">
        <v>123.70133191820567</v>
      </c>
      <c r="I479" s="17"/>
      <c r="J479" s="17"/>
      <c r="K479" s="17"/>
      <c r="L479" s="17"/>
    </row>
    <row r="480" spans="3:12" x14ac:dyDescent="0.25">
      <c r="C480" s="31">
        <f t="shared" ca="1" si="31"/>
        <v>58.277093483973125</v>
      </c>
      <c r="D480" s="31">
        <f t="shared" ca="1" si="31"/>
        <v>120.04415860155849</v>
      </c>
      <c r="E480" s="32">
        <v>46.817363704569409</v>
      </c>
      <c r="F480" s="32">
        <v>120.53929441032751</v>
      </c>
      <c r="I480" s="17"/>
      <c r="J480" s="17"/>
      <c r="K480" s="17"/>
      <c r="L480" s="17"/>
    </row>
    <row r="481" spans="3:12" x14ac:dyDescent="0.25">
      <c r="C481" s="31">
        <f t="shared" ca="1" si="31"/>
        <v>48.878888261972804</v>
      </c>
      <c r="D481" s="31">
        <f t="shared" ca="1" si="31"/>
        <v>119.14432961469851</v>
      </c>
      <c r="E481" s="32">
        <v>52.70026784270253</v>
      </c>
      <c r="F481" s="32">
        <v>100.97906209145339</v>
      </c>
      <c r="I481" s="17"/>
      <c r="J481" s="17"/>
      <c r="K481" s="17"/>
      <c r="L481" s="17"/>
    </row>
    <row r="482" spans="3:12" x14ac:dyDescent="0.25">
      <c r="C482" s="31">
        <f t="shared" ca="1" si="31"/>
        <v>76.956738340238047</v>
      </c>
      <c r="D482" s="31">
        <f t="shared" ca="1" si="31"/>
        <v>148.0005390558234</v>
      </c>
      <c r="E482" s="32">
        <v>57.453224400925713</v>
      </c>
      <c r="F482" s="32">
        <v>115.16903902424728</v>
      </c>
      <c r="I482" s="17"/>
      <c r="J482" s="17"/>
      <c r="K482" s="17"/>
      <c r="L482" s="17"/>
    </row>
    <row r="483" spans="3:12" x14ac:dyDescent="0.25">
      <c r="C483" s="31">
        <f t="shared" ca="1" si="31"/>
        <v>77.915397352161008</v>
      </c>
      <c r="D483" s="31">
        <f t="shared" ca="1" si="31"/>
        <v>130.40179653388236</v>
      </c>
      <c r="E483" s="32">
        <v>61.213079252934875</v>
      </c>
      <c r="F483" s="32">
        <v>118.88112382186475</v>
      </c>
      <c r="I483" s="17"/>
      <c r="J483" s="17"/>
      <c r="K483" s="17"/>
      <c r="L483" s="17"/>
    </row>
    <row r="484" spans="3:12" x14ac:dyDescent="0.25">
      <c r="C484" s="31">
        <f t="shared" ca="1" si="31"/>
        <v>33.356436274126793</v>
      </c>
      <c r="D484" s="31">
        <f t="shared" ca="1" si="31"/>
        <v>152.26996637127763</v>
      </c>
      <c r="E484" s="32">
        <v>55.25540820753811</v>
      </c>
      <c r="F484" s="32">
        <v>145.59273718710591</v>
      </c>
      <c r="I484" s="17"/>
      <c r="J484" s="17"/>
      <c r="K484" s="17"/>
      <c r="L484" s="17"/>
    </row>
    <row r="485" spans="3:12" x14ac:dyDescent="0.25">
      <c r="C485" s="31">
        <f t="shared" ca="1" si="31"/>
        <v>56.09866989045225</v>
      </c>
      <c r="D485" s="31">
        <f t="shared" ca="1" si="31"/>
        <v>141.38072242871735</v>
      </c>
      <c r="E485" s="32">
        <v>53.56995313595683</v>
      </c>
      <c r="F485" s="32">
        <v>157.1901324777117</v>
      </c>
      <c r="I485" s="17"/>
      <c r="J485" s="17"/>
      <c r="K485" s="17"/>
      <c r="L485" s="17"/>
    </row>
    <row r="486" spans="3:12" x14ac:dyDescent="0.25">
      <c r="C486" s="31">
        <f t="shared" ca="1" si="31"/>
        <v>69.072140006740241</v>
      </c>
      <c r="D486" s="31">
        <f t="shared" ca="1" si="31"/>
        <v>102.44901575194771</v>
      </c>
      <c r="E486" s="32">
        <v>47.881851588968644</v>
      </c>
      <c r="F486" s="32">
        <v>98.111264889485938</v>
      </c>
      <c r="I486" s="17"/>
      <c r="J486" s="17"/>
      <c r="K486" s="17"/>
      <c r="L486" s="17"/>
    </row>
    <row r="487" spans="3:12" x14ac:dyDescent="0.25">
      <c r="C487" s="31">
        <f t="shared" ca="1" si="31"/>
        <v>68.240863882582474</v>
      </c>
      <c r="D487" s="31">
        <f t="shared" ca="1" si="31"/>
        <v>92.98325853501629</v>
      </c>
      <c r="E487" s="32">
        <v>67.711573561990363</v>
      </c>
      <c r="F487" s="32">
        <v>125.33884610656241</v>
      </c>
      <c r="I487" s="17"/>
      <c r="J487" s="17"/>
      <c r="K487" s="17"/>
      <c r="L487" s="17"/>
    </row>
    <row r="488" spans="3:12" x14ac:dyDescent="0.25">
      <c r="C488" s="31">
        <f t="shared" ca="1" si="31"/>
        <v>70.308809699056923</v>
      </c>
      <c r="D488" s="31">
        <f t="shared" ca="1" si="31"/>
        <v>95.539803476725979</v>
      </c>
      <c r="E488" s="32">
        <v>59.462913669464001</v>
      </c>
      <c r="F488" s="32">
        <v>165.60164420124789</v>
      </c>
      <c r="I488" s="17"/>
      <c r="J488" s="17"/>
      <c r="K488" s="17"/>
      <c r="L488" s="17"/>
    </row>
    <row r="489" spans="3:12" x14ac:dyDescent="0.25">
      <c r="C489" s="31">
        <f t="shared" ca="1" si="31"/>
        <v>59.501267487412278</v>
      </c>
      <c r="D489" s="31">
        <f t="shared" ca="1" si="31"/>
        <v>125.27393595705411</v>
      </c>
      <c r="E489" s="32">
        <v>73.083102070598869</v>
      </c>
      <c r="F489" s="32">
        <v>117.24824481773832</v>
      </c>
      <c r="I489" s="17"/>
      <c r="J489" s="17"/>
      <c r="K489" s="17"/>
      <c r="L489" s="17"/>
    </row>
    <row r="490" spans="3:12" x14ac:dyDescent="0.25">
      <c r="C490" s="31">
        <f t="shared" ca="1" si="31"/>
        <v>50.878683939388054</v>
      </c>
      <c r="D490" s="31">
        <f t="shared" ca="1" si="31"/>
        <v>141.5944873104429</v>
      </c>
      <c r="E490" s="32">
        <v>66.014973757163546</v>
      </c>
      <c r="F490" s="32">
        <v>137.90567226487826</v>
      </c>
      <c r="I490" s="17"/>
      <c r="J490" s="17"/>
      <c r="K490" s="17"/>
      <c r="L490" s="17"/>
    </row>
    <row r="491" spans="3:12" x14ac:dyDescent="0.25">
      <c r="C491" s="31">
        <f t="shared" ca="1" si="31"/>
        <v>61.13664962670731</v>
      </c>
      <c r="D491" s="31">
        <f t="shared" ca="1" si="31"/>
        <v>136.10544030326832</v>
      </c>
      <c r="E491" s="32">
        <v>62.339191631043981</v>
      </c>
      <c r="F491" s="32">
        <v>121.71158162141384</v>
      </c>
      <c r="I491" s="17"/>
      <c r="J491" s="17"/>
      <c r="K491" s="17"/>
      <c r="L491" s="17"/>
    </row>
    <row r="492" spans="3:12" x14ac:dyDescent="0.25">
      <c r="C492" s="31">
        <f t="shared" ca="1" si="31"/>
        <v>53.059787779810001</v>
      </c>
      <c r="D492" s="31">
        <f t="shared" ca="1" si="31"/>
        <v>127.27917989217174</v>
      </c>
      <c r="E492" s="32">
        <v>45.942784172061934</v>
      </c>
      <c r="F492" s="32">
        <v>137.75365658140353</v>
      </c>
      <c r="I492" s="17"/>
      <c r="J492" s="17"/>
      <c r="K492" s="17"/>
      <c r="L492" s="17"/>
    </row>
    <row r="493" spans="3:12" x14ac:dyDescent="0.25">
      <c r="C493" s="31">
        <f t="shared" ca="1" si="31"/>
        <v>43.236844112229335</v>
      </c>
      <c r="D493" s="31">
        <f t="shared" ca="1" si="31"/>
        <v>88.712592373317193</v>
      </c>
      <c r="E493" s="32">
        <v>49.462586906591483</v>
      </c>
      <c r="F493" s="32">
        <v>110.29678839713708</v>
      </c>
      <c r="I493" s="17"/>
      <c r="J493" s="17"/>
      <c r="K493" s="17"/>
      <c r="L493" s="17"/>
    </row>
    <row r="494" spans="3:12" x14ac:dyDescent="0.25">
      <c r="C494" s="31">
        <f t="shared" ref="C494:D509" ca="1" si="32">_xlfn.NORM.INV(RAND(),C$4,C$5)</f>
        <v>63.220733335851321</v>
      </c>
      <c r="D494" s="31">
        <f t="shared" ca="1" si="32"/>
        <v>104.76473325140616</v>
      </c>
      <c r="E494" s="32">
        <v>62.334593759381136</v>
      </c>
      <c r="F494" s="32">
        <v>122.88229747578103</v>
      </c>
      <c r="I494" s="17"/>
      <c r="J494" s="17"/>
      <c r="K494" s="17"/>
      <c r="L494" s="17"/>
    </row>
    <row r="495" spans="3:12" x14ac:dyDescent="0.25">
      <c r="C495" s="31">
        <f t="shared" ca="1" si="32"/>
        <v>64.064181314532149</v>
      </c>
      <c r="D495" s="31">
        <f t="shared" ca="1" si="32"/>
        <v>124.5752930875757</v>
      </c>
      <c r="E495" s="32">
        <v>57.315514845603168</v>
      </c>
      <c r="F495" s="32">
        <v>104.57713633717555</v>
      </c>
      <c r="I495" s="17"/>
      <c r="J495" s="17"/>
      <c r="K495" s="17"/>
      <c r="L495" s="17"/>
    </row>
    <row r="496" spans="3:12" x14ac:dyDescent="0.25">
      <c r="C496" s="31">
        <f t="shared" ca="1" si="32"/>
        <v>71.573214849093304</v>
      </c>
      <c r="D496" s="31">
        <f t="shared" ca="1" si="32"/>
        <v>93.008167713924038</v>
      </c>
      <c r="E496" s="32">
        <v>73.126613225772331</v>
      </c>
      <c r="F496" s="32">
        <v>137.81744218788248</v>
      </c>
      <c r="I496" s="17"/>
      <c r="J496" s="17"/>
      <c r="K496" s="17"/>
      <c r="L496" s="17"/>
    </row>
    <row r="497" spans="3:12" x14ac:dyDescent="0.25">
      <c r="C497" s="31">
        <f t="shared" ca="1" si="32"/>
        <v>64.206602156727456</v>
      </c>
      <c r="D497" s="31">
        <f t="shared" ca="1" si="32"/>
        <v>97.636647073397185</v>
      </c>
      <c r="E497" s="32">
        <v>72.524919572370322</v>
      </c>
      <c r="F497" s="32">
        <v>133.41959806329376</v>
      </c>
      <c r="I497" s="17"/>
      <c r="J497" s="17"/>
      <c r="K497" s="17"/>
      <c r="L497" s="17"/>
    </row>
    <row r="498" spans="3:12" x14ac:dyDescent="0.25">
      <c r="C498" s="31">
        <f t="shared" ca="1" si="32"/>
        <v>48.523358804853878</v>
      </c>
      <c r="D498" s="31">
        <f t="shared" ca="1" si="32"/>
        <v>136.39993724450503</v>
      </c>
      <c r="E498" s="32">
        <v>51.956603946654312</v>
      </c>
      <c r="F498" s="32">
        <v>127.68915808381887</v>
      </c>
      <c r="I498" s="17"/>
      <c r="J498" s="17"/>
      <c r="K498" s="17"/>
      <c r="L498" s="17"/>
    </row>
    <row r="499" spans="3:12" x14ac:dyDescent="0.25">
      <c r="C499" s="31">
        <f t="shared" ca="1" si="32"/>
        <v>71.047499764363337</v>
      </c>
      <c r="D499" s="31">
        <f t="shared" ca="1" si="32"/>
        <v>143.18727037810183</v>
      </c>
      <c r="E499" s="32">
        <v>81.014569252569999</v>
      </c>
      <c r="F499" s="32">
        <v>112.56262780663505</v>
      </c>
      <c r="I499" s="17"/>
      <c r="J499" s="17"/>
      <c r="K499" s="17"/>
      <c r="L499" s="17"/>
    </row>
    <row r="500" spans="3:12" x14ac:dyDescent="0.25">
      <c r="C500" s="31">
        <f t="shared" ca="1" si="32"/>
        <v>54.036021616372061</v>
      </c>
      <c r="D500" s="31">
        <f t="shared" ca="1" si="32"/>
        <v>108.77226937224223</v>
      </c>
      <c r="E500" s="32">
        <v>51.840184933606366</v>
      </c>
      <c r="F500" s="32">
        <v>69.725036604657888</v>
      </c>
      <c r="I500" s="17"/>
      <c r="J500" s="17"/>
      <c r="K500" s="17"/>
      <c r="L500" s="17"/>
    </row>
    <row r="501" spans="3:12" x14ac:dyDescent="0.25">
      <c r="C501" s="31">
        <f t="shared" ca="1" si="32"/>
        <v>72.695481642098386</v>
      </c>
      <c r="D501" s="31">
        <f t="shared" ca="1" si="32"/>
        <v>125.72944850677123</v>
      </c>
      <c r="E501" s="32">
        <v>69.245979344109301</v>
      </c>
      <c r="F501" s="32">
        <v>161.09533025114524</v>
      </c>
      <c r="I501" s="17"/>
      <c r="J501" s="17"/>
      <c r="K501" s="17"/>
      <c r="L501" s="17"/>
    </row>
    <row r="502" spans="3:12" x14ac:dyDescent="0.25">
      <c r="C502" s="31">
        <f t="shared" ca="1" si="32"/>
        <v>75.245460056153178</v>
      </c>
      <c r="D502" s="31">
        <f t="shared" ca="1" si="32"/>
        <v>104.85417264602</v>
      </c>
      <c r="E502" s="32">
        <v>55.158855439692601</v>
      </c>
      <c r="F502" s="32">
        <v>77.814043727892056</v>
      </c>
      <c r="I502" s="17"/>
      <c r="J502" s="17"/>
      <c r="K502" s="17"/>
      <c r="L502" s="17"/>
    </row>
    <row r="503" spans="3:12" x14ac:dyDescent="0.25">
      <c r="C503" s="31">
        <f t="shared" ca="1" si="32"/>
        <v>51.713398593866891</v>
      </c>
      <c r="D503" s="31">
        <f t="shared" ca="1" si="32"/>
        <v>112.34777335806281</v>
      </c>
      <c r="E503" s="32">
        <v>65.249175438245302</v>
      </c>
      <c r="F503" s="32">
        <v>141.39390361515842</v>
      </c>
      <c r="I503" s="17"/>
      <c r="J503" s="17"/>
      <c r="K503" s="17"/>
      <c r="L503" s="17"/>
    </row>
    <row r="504" spans="3:12" x14ac:dyDescent="0.25">
      <c r="C504" s="31">
        <f t="shared" ca="1" si="32"/>
        <v>65.405720857858157</v>
      </c>
      <c r="D504" s="31">
        <f t="shared" ca="1" si="32"/>
        <v>104.75712531042976</v>
      </c>
      <c r="E504" s="32">
        <v>62.471152717426591</v>
      </c>
      <c r="F504" s="32">
        <v>110.29886861281111</v>
      </c>
      <c r="I504" s="17"/>
      <c r="J504" s="17"/>
      <c r="K504" s="17"/>
      <c r="L504" s="17"/>
    </row>
    <row r="505" spans="3:12" x14ac:dyDescent="0.25">
      <c r="C505" s="31">
        <f t="shared" ca="1" si="32"/>
        <v>70.005927633305163</v>
      </c>
      <c r="E505">
        <v>43.958403106501166</v>
      </c>
    </row>
    <row r="506" spans="3:12" x14ac:dyDescent="0.25">
      <c r="C506" s="31">
        <f t="shared" ca="1" si="32"/>
        <v>69.807035176177749</v>
      </c>
      <c r="E506">
        <v>52.997120359785022</v>
      </c>
    </row>
    <row r="507" spans="3:12" x14ac:dyDescent="0.25">
      <c r="C507" s="31">
        <f t="shared" ca="1" si="32"/>
        <v>53.756732551579567</v>
      </c>
      <c r="E507">
        <v>51.105578582399517</v>
      </c>
    </row>
    <row r="508" spans="3:12" x14ac:dyDescent="0.25">
      <c r="C508" s="31">
        <f t="shared" ca="1" si="32"/>
        <v>56.368944639375442</v>
      </c>
      <c r="E508">
        <v>64.488257392429972</v>
      </c>
    </row>
    <row r="509" spans="3:12" x14ac:dyDescent="0.25">
      <c r="C509" s="31">
        <f t="shared" ca="1" si="32"/>
        <v>76.659294198763149</v>
      </c>
      <c r="E509">
        <v>65.10031616909734</v>
      </c>
    </row>
    <row r="510" spans="3:12" x14ac:dyDescent="0.25">
      <c r="C510" s="31">
        <f t="shared" ref="C510:C573" ca="1" si="33">_xlfn.NORM.INV(RAND(),C$4,C$5)</f>
        <v>59.604764712356619</v>
      </c>
      <c r="E510">
        <v>67.279530380179025</v>
      </c>
    </row>
    <row r="511" spans="3:12" x14ac:dyDescent="0.25">
      <c r="C511" s="31">
        <f t="shared" ca="1" si="33"/>
        <v>53.728681684091555</v>
      </c>
      <c r="E511">
        <v>46.538911270931948</v>
      </c>
    </row>
    <row r="512" spans="3:12" x14ac:dyDescent="0.25">
      <c r="C512" s="31">
        <f t="shared" ca="1" si="33"/>
        <v>58.285192999995331</v>
      </c>
      <c r="E512">
        <v>49.27507548880115</v>
      </c>
    </row>
    <row r="513" spans="3:5" x14ac:dyDescent="0.25">
      <c r="C513" s="31">
        <f t="shared" ca="1" si="33"/>
        <v>74.879392446747474</v>
      </c>
      <c r="E513">
        <v>54.963692269482209</v>
      </c>
    </row>
    <row r="514" spans="3:5" x14ac:dyDescent="0.25">
      <c r="C514" s="31">
        <f t="shared" ca="1" si="33"/>
        <v>62.912480890867151</v>
      </c>
      <c r="E514">
        <v>72.726791460964364</v>
      </c>
    </row>
    <row r="515" spans="3:5" x14ac:dyDescent="0.25">
      <c r="C515" s="31">
        <f t="shared" ca="1" si="33"/>
        <v>57.640144657291572</v>
      </c>
      <c r="E515">
        <v>61.092023105579827</v>
      </c>
    </row>
    <row r="516" spans="3:5" x14ac:dyDescent="0.25">
      <c r="C516" s="31">
        <f t="shared" ca="1" si="33"/>
        <v>63.455953735258156</v>
      </c>
      <c r="E516">
        <v>69.414102910421718</v>
      </c>
    </row>
    <row r="517" spans="3:5" x14ac:dyDescent="0.25">
      <c r="C517" s="31">
        <f t="shared" ca="1" si="33"/>
        <v>68.486449536866203</v>
      </c>
      <c r="E517">
        <v>47.792802450041961</v>
      </c>
    </row>
    <row r="518" spans="3:5" x14ac:dyDescent="0.25">
      <c r="C518" s="31">
        <f t="shared" ca="1" si="33"/>
        <v>47.911276188424921</v>
      </c>
      <c r="E518">
        <v>63.828288006501843</v>
      </c>
    </row>
    <row r="519" spans="3:5" x14ac:dyDescent="0.25">
      <c r="C519" s="31">
        <f t="shared" ca="1" si="33"/>
        <v>73.443385318872714</v>
      </c>
      <c r="E519">
        <v>55.538238352111257</v>
      </c>
    </row>
    <row r="520" spans="3:5" x14ac:dyDescent="0.25">
      <c r="C520" s="31">
        <f t="shared" ca="1" si="33"/>
        <v>75.961624808143682</v>
      </c>
      <c r="E520">
        <v>59.559429165265023</v>
      </c>
    </row>
    <row r="521" spans="3:5" x14ac:dyDescent="0.25">
      <c r="C521" s="31">
        <f t="shared" ca="1" si="33"/>
        <v>63.241089821294864</v>
      </c>
      <c r="E521">
        <v>56.057112344142347</v>
      </c>
    </row>
    <row r="522" spans="3:5" x14ac:dyDescent="0.25">
      <c r="C522" s="31">
        <f t="shared" ca="1" si="33"/>
        <v>56.783803142883542</v>
      </c>
      <c r="E522">
        <v>65.966181295257186</v>
      </c>
    </row>
    <row r="523" spans="3:5" x14ac:dyDescent="0.25">
      <c r="C523" s="31">
        <f t="shared" ca="1" si="33"/>
        <v>38.65984359288008</v>
      </c>
      <c r="E523">
        <v>49.068701674920128</v>
      </c>
    </row>
    <row r="524" spans="3:5" x14ac:dyDescent="0.25">
      <c r="C524" s="31">
        <f t="shared" ca="1" si="33"/>
        <v>64.524286365391134</v>
      </c>
      <c r="E524">
        <v>61.171965149745752</v>
      </c>
    </row>
    <row r="525" spans="3:5" x14ac:dyDescent="0.25">
      <c r="C525" s="31">
        <f t="shared" ca="1" si="33"/>
        <v>68.568540848457971</v>
      </c>
      <c r="E525">
        <v>65.389193374914342</v>
      </c>
    </row>
    <row r="526" spans="3:5" x14ac:dyDescent="0.25">
      <c r="C526" s="31">
        <f t="shared" ca="1" si="33"/>
        <v>43.031405292227092</v>
      </c>
      <c r="E526">
        <v>36.911873724691866</v>
      </c>
    </row>
    <row r="527" spans="3:5" x14ac:dyDescent="0.25">
      <c r="C527" s="31">
        <f t="shared" ca="1" si="33"/>
        <v>67.777985702934544</v>
      </c>
      <c r="E527">
        <v>64.877029580138881</v>
      </c>
    </row>
    <row r="528" spans="3:5" x14ac:dyDescent="0.25">
      <c r="C528" s="31">
        <f t="shared" ca="1" si="33"/>
        <v>64.880742719415281</v>
      </c>
      <c r="E528">
        <v>53.204142705059589</v>
      </c>
    </row>
    <row r="529" spans="3:5" x14ac:dyDescent="0.25">
      <c r="C529" s="31">
        <f t="shared" ca="1" si="33"/>
        <v>75.309274327393354</v>
      </c>
      <c r="E529">
        <v>64.898608522781615</v>
      </c>
    </row>
    <row r="530" spans="3:5" x14ac:dyDescent="0.25">
      <c r="C530" s="31">
        <f t="shared" ca="1" si="33"/>
        <v>71.664612385420526</v>
      </c>
      <c r="E530">
        <v>47.594703727581873</v>
      </c>
    </row>
    <row r="531" spans="3:5" x14ac:dyDescent="0.25">
      <c r="C531" s="31">
        <f t="shared" ca="1" si="33"/>
        <v>72.432350265312436</v>
      </c>
      <c r="E531">
        <v>51.333241435055427</v>
      </c>
    </row>
    <row r="532" spans="3:5" x14ac:dyDescent="0.25">
      <c r="C532" s="31">
        <f t="shared" ca="1" si="33"/>
        <v>65.242908353332894</v>
      </c>
      <c r="E532">
        <v>49.864008124009672</v>
      </c>
    </row>
    <row r="533" spans="3:5" x14ac:dyDescent="0.25">
      <c r="C533" s="31">
        <f t="shared" ca="1" si="33"/>
        <v>62.240116600524495</v>
      </c>
      <c r="E533">
        <v>59.069945930168565</v>
      </c>
    </row>
    <row r="534" spans="3:5" x14ac:dyDescent="0.25">
      <c r="C534" s="31">
        <f t="shared" ca="1" si="33"/>
        <v>59.240749389810794</v>
      </c>
      <c r="E534">
        <v>59.084944545171965</v>
      </c>
    </row>
    <row r="535" spans="3:5" x14ac:dyDescent="0.25">
      <c r="C535" s="31">
        <f t="shared" ca="1" si="33"/>
        <v>50.297299539203379</v>
      </c>
      <c r="E535">
        <v>49.20738621551159</v>
      </c>
    </row>
    <row r="536" spans="3:5" x14ac:dyDescent="0.25">
      <c r="C536" s="31">
        <f t="shared" ca="1" si="33"/>
        <v>56.530055793866275</v>
      </c>
      <c r="E536">
        <v>50.15614713422049</v>
      </c>
    </row>
    <row r="537" spans="3:5" x14ac:dyDescent="0.25">
      <c r="C537" s="31">
        <f t="shared" ca="1" si="33"/>
        <v>59.81343264623213</v>
      </c>
      <c r="E537">
        <v>63.370902432989126</v>
      </c>
    </row>
    <row r="538" spans="3:5" x14ac:dyDescent="0.25">
      <c r="C538" s="31">
        <f t="shared" ca="1" si="33"/>
        <v>53.619357158641407</v>
      </c>
      <c r="E538">
        <v>64.774698096665674</v>
      </c>
    </row>
    <row r="539" spans="3:5" x14ac:dyDescent="0.25">
      <c r="C539" s="31">
        <f t="shared" ca="1" si="33"/>
        <v>57.581127782916219</v>
      </c>
      <c r="E539">
        <v>47.979029731687795</v>
      </c>
    </row>
    <row r="540" spans="3:5" x14ac:dyDescent="0.25">
      <c r="C540" s="31">
        <f t="shared" ca="1" si="33"/>
        <v>54.506133982820771</v>
      </c>
      <c r="E540">
        <v>82.711294232676295</v>
      </c>
    </row>
    <row r="541" spans="3:5" x14ac:dyDescent="0.25">
      <c r="C541" s="31">
        <f t="shared" ca="1" si="33"/>
        <v>50.659096209170173</v>
      </c>
      <c r="E541">
        <v>59.091045765025306</v>
      </c>
    </row>
    <row r="542" spans="3:5" x14ac:dyDescent="0.25">
      <c r="C542" s="31">
        <f t="shared" ca="1" si="33"/>
        <v>39.343379236575487</v>
      </c>
      <c r="E542">
        <v>64.163743657089029</v>
      </c>
    </row>
    <row r="543" spans="3:5" x14ac:dyDescent="0.25">
      <c r="C543" s="31">
        <f t="shared" ca="1" si="33"/>
        <v>72.391854097776744</v>
      </c>
      <c r="E543">
        <v>79.169502748517488</v>
      </c>
    </row>
    <row r="544" spans="3:5" x14ac:dyDescent="0.25">
      <c r="C544" s="31">
        <f t="shared" ca="1" si="33"/>
        <v>66.949289885732483</v>
      </c>
      <c r="E544">
        <v>55.345549552651214</v>
      </c>
    </row>
    <row r="545" spans="3:5" x14ac:dyDescent="0.25">
      <c r="C545" s="31">
        <f t="shared" ca="1" si="33"/>
        <v>62.846225873056255</v>
      </c>
      <c r="E545">
        <v>76.484370164577612</v>
      </c>
    </row>
    <row r="546" spans="3:5" x14ac:dyDescent="0.25">
      <c r="C546" s="31">
        <f t="shared" ca="1" si="33"/>
        <v>61.347414933210224</v>
      </c>
      <c r="E546">
        <v>54.582804278471954</v>
      </c>
    </row>
    <row r="547" spans="3:5" x14ac:dyDescent="0.25">
      <c r="C547" s="31">
        <f t="shared" ca="1" si="33"/>
        <v>56.2410100344025</v>
      </c>
      <c r="E547">
        <v>66.19895258610039</v>
      </c>
    </row>
    <row r="548" spans="3:5" x14ac:dyDescent="0.25">
      <c r="C548" s="31">
        <f t="shared" ca="1" si="33"/>
        <v>60.034876326933336</v>
      </c>
      <c r="E548">
        <v>56.840258222200902</v>
      </c>
    </row>
    <row r="549" spans="3:5" x14ac:dyDescent="0.25">
      <c r="C549" s="31">
        <f t="shared" ca="1" si="33"/>
        <v>64.056563341890381</v>
      </c>
      <c r="E549">
        <v>55.038707285909069</v>
      </c>
    </row>
    <row r="550" spans="3:5" x14ac:dyDescent="0.25">
      <c r="C550" s="31">
        <f t="shared" ca="1" si="33"/>
        <v>66.237431244911207</v>
      </c>
      <c r="E550">
        <v>37.221335436028838</v>
      </c>
    </row>
    <row r="551" spans="3:5" x14ac:dyDescent="0.25">
      <c r="C551" s="31">
        <f t="shared" ca="1" si="33"/>
        <v>58.531447950412399</v>
      </c>
      <c r="E551">
        <v>35.867290751284507</v>
      </c>
    </row>
    <row r="552" spans="3:5" x14ac:dyDescent="0.25">
      <c r="C552" s="31">
        <f t="shared" ca="1" si="33"/>
        <v>64.442162804288017</v>
      </c>
      <c r="E552">
        <v>52.687089633044863</v>
      </c>
    </row>
    <row r="553" spans="3:5" x14ac:dyDescent="0.25">
      <c r="C553" s="31">
        <f t="shared" ca="1" si="33"/>
        <v>59.263102381519765</v>
      </c>
      <c r="E553">
        <v>50.898703580976701</v>
      </c>
    </row>
    <row r="554" spans="3:5" x14ac:dyDescent="0.25">
      <c r="C554" s="31">
        <f t="shared" ca="1" si="33"/>
        <v>61.922662700364</v>
      </c>
      <c r="E554">
        <v>78.438223885996933</v>
      </c>
    </row>
    <row r="555" spans="3:5" x14ac:dyDescent="0.25">
      <c r="C555" s="31">
        <f t="shared" ca="1" si="33"/>
        <v>77.394117988485789</v>
      </c>
      <c r="E555">
        <v>74.660353460728018</v>
      </c>
    </row>
    <row r="556" spans="3:5" x14ac:dyDescent="0.25">
      <c r="C556" s="31">
        <f t="shared" ca="1" si="33"/>
        <v>62.126361565558597</v>
      </c>
      <c r="E556">
        <v>67.873757901920897</v>
      </c>
    </row>
    <row r="557" spans="3:5" x14ac:dyDescent="0.25">
      <c r="C557" s="31">
        <f t="shared" ca="1" si="33"/>
        <v>72.68674749700422</v>
      </c>
      <c r="E557">
        <v>60.782749198318513</v>
      </c>
    </row>
    <row r="558" spans="3:5" x14ac:dyDescent="0.25">
      <c r="C558" s="31">
        <f t="shared" ca="1" si="33"/>
        <v>55.262605799372722</v>
      </c>
      <c r="E558">
        <v>64.69246530035727</v>
      </c>
    </row>
    <row r="559" spans="3:5" x14ac:dyDescent="0.25">
      <c r="C559" s="31">
        <f t="shared" ca="1" si="33"/>
        <v>68.761619942406128</v>
      </c>
      <c r="E559">
        <v>64.511353137527152</v>
      </c>
    </row>
    <row r="560" spans="3:5" x14ac:dyDescent="0.25">
      <c r="C560" s="31">
        <f t="shared" ca="1" si="33"/>
        <v>68.626892493331141</v>
      </c>
      <c r="E560">
        <v>30.832877593036816</v>
      </c>
    </row>
    <row r="561" spans="3:5" x14ac:dyDescent="0.25">
      <c r="C561" s="31">
        <f t="shared" ca="1" si="33"/>
        <v>58.142391894130071</v>
      </c>
      <c r="E561">
        <v>48.818796824938204</v>
      </c>
    </row>
    <row r="562" spans="3:5" x14ac:dyDescent="0.25">
      <c r="C562" s="31">
        <f t="shared" ca="1" si="33"/>
        <v>52.496196813490471</v>
      </c>
      <c r="E562">
        <v>51.851693451036368</v>
      </c>
    </row>
    <row r="563" spans="3:5" x14ac:dyDescent="0.25">
      <c r="C563" s="31">
        <f t="shared" ca="1" si="33"/>
        <v>48.561793316783692</v>
      </c>
      <c r="E563">
        <v>52.462242513894608</v>
      </c>
    </row>
    <row r="564" spans="3:5" x14ac:dyDescent="0.25">
      <c r="C564" s="31">
        <f t="shared" ca="1" si="33"/>
        <v>70.97214529799777</v>
      </c>
      <c r="E564">
        <v>49.434691022876393</v>
      </c>
    </row>
    <row r="565" spans="3:5" x14ac:dyDescent="0.25">
      <c r="C565" s="31">
        <f t="shared" ca="1" si="33"/>
        <v>56.399601776385424</v>
      </c>
      <c r="E565">
        <v>60.156290263607332</v>
      </c>
    </row>
    <row r="566" spans="3:5" x14ac:dyDescent="0.25">
      <c r="C566" s="31">
        <f t="shared" ca="1" si="33"/>
        <v>75.714256848633411</v>
      </c>
      <c r="E566">
        <v>67.514246350731682</v>
      </c>
    </row>
    <row r="567" spans="3:5" x14ac:dyDescent="0.25">
      <c r="C567" s="31">
        <f t="shared" ca="1" si="33"/>
        <v>61.266334347192505</v>
      </c>
      <c r="E567">
        <v>70.920555573227773</v>
      </c>
    </row>
    <row r="568" spans="3:5" x14ac:dyDescent="0.25">
      <c r="C568" s="31">
        <f t="shared" ca="1" si="33"/>
        <v>38.526618692679463</v>
      </c>
      <c r="E568">
        <v>50.908005630775655</v>
      </c>
    </row>
    <row r="569" spans="3:5" x14ac:dyDescent="0.25">
      <c r="C569" s="31">
        <f t="shared" ca="1" si="33"/>
        <v>49.158776386588357</v>
      </c>
      <c r="E569">
        <v>60.120410689073289</v>
      </c>
    </row>
    <row r="570" spans="3:5" x14ac:dyDescent="0.25">
      <c r="C570" s="31">
        <f t="shared" ca="1" si="33"/>
        <v>47.947340677524259</v>
      </c>
      <c r="E570">
        <v>68.504454456280612</v>
      </c>
    </row>
    <row r="571" spans="3:5" x14ac:dyDescent="0.25">
      <c r="C571" s="31">
        <f t="shared" ca="1" si="33"/>
        <v>45.529934156103842</v>
      </c>
      <c r="E571">
        <v>57.053359351503502</v>
      </c>
    </row>
    <row r="572" spans="3:5" x14ac:dyDescent="0.25">
      <c r="C572" s="31">
        <f t="shared" ca="1" si="33"/>
        <v>46.865154984104073</v>
      </c>
      <c r="E572">
        <v>56.798780113076404</v>
      </c>
    </row>
    <row r="573" spans="3:5" x14ac:dyDescent="0.25">
      <c r="C573" s="31">
        <f t="shared" ca="1" si="33"/>
        <v>56.350824501758346</v>
      </c>
      <c r="E573">
        <v>51.434484564625222</v>
      </c>
    </row>
    <row r="574" spans="3:5" x14ac:dyDescent="0.25">
      <c r="C574" s="31">
        <f t="shared" ref="C574:C637" ca="1" si="34">_xlfn.NORM.INV(RAND(),C$4,C$5)</f>
        <v>61.450477154518651</v>
      </c>
      <c r="E574">
        <v>55.316282203936801</v>
      </c>
    </row>
    <row r="575" spans="3:5" x14ac:dyDescent="0.25">
      <c r="C575" s="31">
        <f t="shared" ca="1" si="34"/>
        <v>52.17402972163169</v>
      </c>
      <c r="E575">
        <v>43.400782128576012</v>
      </c>
    </row>
    <row r="576" spans="3:5" x14ac:dyDescent="0.25">
      <c r="C576" s="31">
        <f t="shared" ca="1" si="34"/>
        <v>60.79440048400501</v>
      </c>
      <c r="E576">
        <v>81.812105097572783</v>
      </c>
    </row>
    <row r="577" spans="3:5" x14ac:dyDescent="0.25">
      <c r="C577" s="31">
        <f t="shared" ca="1" si="34"/>
        <v>48.803215255422074</v>
      </c>
      <c r="E577">
        <v>61.659566610408007</v>
      </c>
    </row>
    <row r="578" spans="3:5" x14ac:dyDescent="0.25">
      <c r="C578" s="31">
        <f t="shared" ca="1" si="34"/>
        <v>58.203196463390555</v>
      </c>
      <c r="E578">
        <v>63.147355059541781</v>
      </c>
    </row>
    <row r="579" spans="3:5" x14ac:dyDescent="0.25">
      <c r="C579" s="31">
        <f t="shared" ca="1" si="34"/>
        <v>43.489585995065696</v>
      </c>
      <c r="E579">
        <v>64.114385521273363</v>
      </c>
    </row>
    <row r="580" spans="3:5" x14ac:dyDescent="0.25">
      <c r="C580" s="31">
        <f t="shared" ca="1" si="34"/>
        <v>66.11978694199766</v>
      </c>
      <c r="E580">
        <v>66.86591772225303</v>
      </c>
    </row>
    <row r="581" spans="3:5" x14ac:dyDescent="0.25">
      <c r="C581" s="31">
        <f t="shared" ca="1" si="34"/>
        <v>56.22967699563916</v>
      </c>
      <c r="E581">
        <v>62.261218316005071</v>
      </c>
    </row>
    <row r="582" spans="3:5" x14ac:dyDescent="0.25">
      <c r="C582" s="31">
        <f t="shared" ca="1" si="34"/>
        <v>54.82163244438474</v>
      </c>
      <c r="E582">
        <v>67.103058292764416</v>
      </c>
    </row>
    <row r="583" spans="3:5" x14ac:dyDescent="0.25">
      <c r="C583" s="31">
        <f t="shared" ca="1" si="34"/>
        <v>47.251789796307065</v>
      </c>
      <c r="E583">
        <v>71.364117398379733</v>
      </c>
    </row>
    <row r="584" spans="3:5" x14ac:dyDescent="0.25">
      <c r="C584" s="31">
        <f t="shared" ca="1" si="34"/>
        <v>63.9560814254435</v>
      </c>
      <c r="E584">
        <v>59.473493598094336</v>
      </c>
    </row>
    <row r="585" spans="3:5" x14ac:dyDescent="0.25">
      <c r="C585" s="31">
        <f t="shared" ca="1" si="34"/>
        <v>56.52474778211586</v>
      </c>
      <c r="E585">
        <v>47.431003782633709</v>
      </c>
    </row>
    <row r="586" spans="3:5" x14ac:dyDescent="0.25">
      <c r="C586" s="31">
        <f t="shared" ca="1" si="34"/>
        <v>70.11948621471042</v>
      </c>
      <c r="E586">
        <v>60.580883143836317</v>
      </c>
    </row>
    <row r="587" spans="3:5" x14ac:dyDescent="0.25">
      <c r="C587" s="31">
        <f t="shared" ca="1" si="34"/>
        <v>62.689235708113664</v>
      </c>
      <c r="E587">
        <v>60.616871472724164</v>
      </c>
    </row>
    <row r="588" spans="3:5" x14ac:dyDescent="0.25">
      <c r="C588" s="31">
        <f t="shared" ca="1" si="34"/>
        <v>49.997577060483636</v>
      </c>
      <c r="E588">
        <v>60.269871674501729</v>
      </c>
    </row>
    <row r="589" spans="3:5" x14ac:dyDescent="0.25">
      <c r="C589" s="31">
        <f t="shared" ca="1" si="34"/>
        <v>68.691192703943528</v>
      </c>
      <c r="E589">
        <v>65.395303644984537</v>
      </c>
    </row>
    <row r="590" spans="3:5" x14ac:dyDescent="0.25">
      <c r="C590" s="31">
        <f t="shared" ca="1" si="34"/>
        <v>58.790546563371166</v>
      </c>
      <c r="E590">
        <v>65.442340080226487</v>
      </c>
    </row>
    <row r="591" spans="3:5" x14ac:dyDescent="0.25">
      <c r="C591" s="31">
        <f t="shared" ca="1" si="34"/>
        <v>39.104260174346365</v>
      </c>
      <c r="E591">
        <v>57.107446435769475</v>
      </c>
    </row>
    <row r="592" spans="3:5" x14ac:dyDescent="0.25">
      <c r="C592" s="31">
        <f t="shared" ca="1" si="34"/>
        <v>49.308118110960962</v>
      </c>
      <c r="E592">
        <v>71.186631681280176</v>
      </c>
    </row>
    <row r="593" spans="3:5" x14ac:dyDescent="0.25">
      <c r="C593" s="31">
        <f t="shared" ca="1" si="34"/>
        <v>59.737287212412646</v>
      </c>
      <c r="E593">
        <v>58.280509677452066</v>
      </c>
    </row>
    <row r="594" spans="3:5" x14ac:dyDescent="0.25">
      <c r="C594" s="31">
        <f t="shared" ca="1" si="34"/>
        <v>58.229414172286532</v>
      </c>
      <c r="E594">
        <v>66.991386080034189</v>
      </c>
    </row>
    <row r="595" spans="3:5" x14ac:dyDescent="0.25">
      <c r="C595" s="31">
        <f t="shared" ca="1" si="34"/>
        <v>53.530906450494406</v>
      </c>
      <c r="E595">
        <v>64.515533171979968</v>
      </c>
    </row>
    <row r="596" spans="3:5" x14ac:dyDescent="0.25">
      <c r="C596" s="31">
        <f t="shared" ca="1" si="34"/>
        <v>61.327245399705255</v>
      </c>
      <c r="E596">
        <v>57.090740236636435</v>
      </c>
    </row>
    <row r="597" spans="3:5" x14ac:dyDescent="0.25">
      <c r="C597" s="31">
        <f t="shared" ca="1" si="34"/>
        <v>73.45203238736282</v>
      </c>
      <c r="E597">
        <v>51.392922743589828</v>
      </c>
    </row>
    <row r="598" spans="3:5" x14ac:dyDescent="0.25">
      <c r="C598" s="31">
        <f t="shared" ca="1" si="34"/>
        <v>54.508242821885176</v>
      </c>
      <c r="E598">
        <v>67.114860031822005</v>
      </c>
    </row>
    <row r="599" spans="3:5" x14ac:dyDescent="0.25">
      <c r="C599" s="31">
        <f t="shared" ca="1" si="34"/>
        <v>48.833665048981601</v>
      </c>
      <c r="E599">
        <v>74.698417424610966</v>
      </c>
    </row>
    <row r="600" spans="3:5" x14ac:dyDescent="0.25">
      <c r="C600" s="31">
        <f t="shared" ca="1" si="34"/>
        <v>57.860155812098448</v>
      </c>
      <c r="E600">
        <v>74.097366388782021</v>
      </c>
    </row>
    <row r="601" spans="3:5" x14ac:dyDescent="0.25">
      <c r="C601" s="31">
        <f t="shared" ca="1" si="34"/>
        <v>57.258534970328526</v>
      </c>
      <c r="E601">
        <v>68.787582757110613</v>
      </c>
    </row>
    <row r="602" spans="3:5" x14ac:dyDescent="0.25">
      <c r="C602" s="31">
        <f t="shared" ca="1" si="34"/>
        <v>64.820449299799478</v>
      </c>
      <c r="E602">
        <v>68.793195822113347</v>
      </c>
    </row>
    <row r="603" spans="3:5" x14ac:dyDescent="0.25">
      <c r="C603" s="31">
        <f t="shared" ca="1" si="34"/>
        <v>65.526274200488899</v>
      </c>
      <c r="E603">
        <v>69.625416654513515</v>
      </c>
    </row>
    <row r="604" spans="3:5" x14ac:dyDescent="0.25">
      <c r="C604" s="31">
        <f t="shared" ca="1" si="34"/>
        <v>49.265499071572634</v>
      </c>
      <c r="E604">
        <v>54.333039016471048</v>
      </c>
    </row>
    <row r="605" spans="3:5" x14ac:dyDescent="0.25">
      <c r="C605" s="31">
        <f t="shared" ca="1" si="34"/>
        <v>57.016731856083787</v>
      </c>
      <c r="E605">
        <v>57.73523268879417</v>
      </c>
    </row>
    <row r="606" spans="3:5" x14ac:dyDescent="0.25">
      <c r="C606" s="31">
        <f t="shared" ca="1" si="34"/>
        <v>47.983224873626469</v>
      </c>
      <c r="E606">
        <v>73.229834835763754</v>
      </c>
    </row>
    <row r="607" spans="3:5" x14ac:dyDescent="0.25">
      <c r="C607" s="31">
        <f t="shared" ca="1" si="34"/>
        <v>62.610595374073732</v>
      </c>
      <c r="E607">
        <v>66.797212140130341</v>
      </c>
    </row>
    <row r="608" spans="3:5" x14ac:dyDescent="0.25">
      <c r="C608" s="31">
        <f t="shared" ca="1" si="34"/>
        <v>57.436067995827038</v>
      </c>
      <c r="E608">
        <v>60.499190887180966</v>
      </c>
    </row>
    <row r="609" spans="3:5" x14ac:dyDescent="0.25">
      <c r="C609" s="31">
        <f t="shared" ca="1" si="34"/>
        <v>69.47260409278033</v>
      </c>
      <c r="E609">
        <v>58.658542923981493</v>
      </c>
    </row>
    <row r="610" spans="3:5" x14ac:dyDescent="0.25">
      <c r="C610" s="31">
        <f t="shared" ca="1" si="34"/>
        <v>64.80724688739059</v>
      </c>
      <c r="E610">
        <v>61.249928575836542</v>
      </c>
    </row>
    <row r="611" spans="3:5" x14ac:dyDescent="0.25">
      <c r="C611" s="31">
        <f t="shared" ca="1" si="34"/>
        <v>75.264205991822649</v>
      </c>
      <c r="E611">
        <v>61.797871585732302</v>
      </c>
    </row>
    <row r="612" spans="3:5" x14ac:dyDescent="0.25">
      <c r="C612" s="31">
        <f t="shared" ca="1" si="34"/>
        <v>67.633775936784417</v>
      </c>
      <c r="E612">
        <v>55.970784676320122</v>
      </c>
    </row>
    <row r="613" spans="3:5" x14ac:dyDescent="0.25">
      <c r="C613" s="31">
        <f t="shared" ca="1" si="34"/>
        <v>75.865185264809497</v>
      </c>
      <c r="E613">
        <v>60.893520392726472</v>
      </c>
    </row>
    <row r="614" spans="3:5" x14ac:dyDescent="0.25">
      <c r="C614" s="31">
        <f t="shared" ca="1" si="34"/>
        <v>51.166055453697702</v>
      </c>
      <c r="E614">
        <v>63.626638166105742</v>
      </c>
    </row>
    <row r="615" spans="3:5" x14ac:dyDescent="0.25">
      <c r="C615" s="31">
        <f t="shared" ca="1" si="34"/>
        <v>49.70309313344832</v>
      </c>
      <c r="E615">
        <v>68.086950482704665</v>
      </c>
    </row>
    <row r="616" spans="3:5" x14ac:dyDescent="0.25">
      <c r="C616" s="31">
        <f t="shared" ca="1" si="34"/>
        <v>73.407274022068023</v>
      </c>
      <c r="E616">
        <v>51.658167403456716</v>
      </c>
    </row>
    <row r="617" spans="3:5" x14ac:dyDescent="0.25">
      <c r="C617" s="31">
        <f t="shared" ca="1" si="34"/>
        <v>56.56836675008212</v>
      </c>
      <c r="E617">
        <v>60.080045930362907</v>
      </c>
    </row>
    <row r="618" spans="3:5" x14ac:dyDescent="0.25">
      <c r="C618" s="31">
        <f t="shared" ca="1" si="34"/>
        <v>47.916720889641276</v>
      </c>
      <c r="E618">
        <v>63.051638250057756</v>
      </c>
    </row>
    <row r="619" spans="3:5" x14ac:dyDescent="0.25">
      <c r="C619" s="31">
        <f t="shared" ca="1" si="34"/>
        <v>50.345050289032095</v>
      </c>
      <c r="E619">
        <v>68.611206376054582</v>
      </c>
    </row>
    <row r="620" spans="3:5" x14ac:dyDescent="0.25">
      <c r="C620" s="31">
        <f t="shared" ca="1" si="34"/>
        <v>74.495862846048155</v>
      </c>
      <c r="E620">
        <v>61.526790478607481</v>
      </c>
    </row>
    <row r="621" spans="3:5" x14ac:dyDescent="0.25">
      <c r="C621" s="31">
        <f t="shared" ca="1" si="34"/>
        <v>69.984868462318346</v>
      </c>
      <c r="E621">
        <v>56.671885792230491</v>
      </c>
    </row>
    <row r="622" spans="3:5" x14ac:dyDescent="0.25">
      <c r="C622" s="31">
        <f t="shared" ca="1" si="34"/>
        <v>69.38234279805296</v>
      </c>
      <c r="E622">
        <v>35.523327715025594</v>
      </c>
    </row>
    <row r="623" spans="3:5" x14ac:dyDescent="0.25">
      <c r="C623" s="31">
        <f t="shared" ca="1" si="34"/>
        <v>52.291292002180143</v>
      </c>
      <c r="E623">
        <v>72.409402532686968</v>
      </c>
    </row>
    <row r="624" spans="3:5" x14ac:dyDescent="0.25">
      <c r="C624" s="31">
        <f t="shared" ca="1" si="34"/>
        <v>82.620143060462553</v>
      </c>
      <c r="E624">
        <v>65.894166542183186</v>
      </c>
    </row>
    <row r="625" spans="3:5" x14ac:dyDescent="0.25">
      <c r="C625" s="31">
        <f t="shared" ca="1" si="34"/>
        <v>54.561697467422306</v>
      </c>
      <c r="E625">
        <v>58.537221760876434</v>
      </c>
    </row>
    <row r="626" spans="3:5" x14ac:dyDescent="0.25">
      <c r="C626" s="31">
        <f t="shared" ca="1" si="34"/>
        <v>73.125573833717198</v>
      </c>
      <c r="E626">
        <v>60.276061755325983</v>
      </c>
    </row>
    <row r="627" spans="3:5" x14ac:dyDescent="0.25">
      <c r="C627" s="31">
        <f t="shared" ca="1" si="34"/>
        <v>57.718110701063068</v>
      </c>
      <c r="E627">
        <v>52.785813807020844</v>
      </c>
    </row>
    <row r="628" spans="3:5" x14ac:dyDescent="0.25">
      <c r="C628" s="31">
        <f t="shared" ca="1" si="34"/>
        <v>73.801460494287383</v>
      </c>
      <c r="E628">
        <v>54.882489775012473</v>
      </c>
    </row>
    <row r="629" spans="3:5" x14ac:dyDescent="0.25">
      <c r="C629" s="31">
        <f t="shared" ca="1" si="34"/>
        <v>45.041983232046363</v>
      </c>
      <c r="E629">
        <v>56.998288729486831</v>
      </c>
    </row>
    <row r="630" spans="3:5" x14ac:dyDescent="0.25">
      <c r="C630" s="31">
        <f t="shared" ca="1" si="34"/>
        <v>61.568661490798817</v>
      </c>
      <c r="E630">
        <v>72.603326126465802</v>
      </c>
    </row>
    <row r="631" spans="3:5" x14ac:dyDescent="0.25">
      <c r="C631" s="31">
        <f t="shared" ca="1" si="34"/>
        <v>56.414114735242102</v>
      </c>
      <c r="E631">
        <v>63.38486090381123</v>
      </c>
    </row>
    <row r="632" spans="3:5" x14ac:dyDescent="0.25">
      <c r="C632" s="31">
        <f t="shared" ca="1" si="34"/>
        <v>52.660585242443709</v>
      </c>
      <c r="E632">
        <v>60.767702166005051</v>
      </c>
    </row>
    <row r="633" spans="3:5" x14ac:dyDescent="0.25">
      <c r="C633" s="31">
        <f t="shared" ca="1" si="34"/>
        <v>60.088234102049192</v>
      </c>
      <c r="E633">
        <v>46.402840023402746</v>
      </c>
    </row>
    <row r="634" spans="3:5" x14ac:dyDescent="0.25">
      <c r="C634" s="31">
        <f t="shared" ca="1" si="34"/>
        <v>60.487795039739375</v>
      </c>
      <c r="E634">
        <v>58.215678210425231</v>
      </c>
    </row>
    <row r="635" spans="3:5" x14ac:dyDescent="0.25">
      <c r="C635" s="31">
        <f t="shared" ca="1" si="34"/>
        <v>49.746011948282252</v>
      </c>
      <c r="E635">
        <v>52.939814148274337</v>
      </c>
    </row>
    <row r="636" spans="3:5" x14ac:dyDescent="0.25">
      <c r="C636" s="31">
        <f t="shared" ca="1" si="34"/>
        <v>58.297213612156327</v>
      </c>
      <c r="E636">
        <v>57.557011950316209</v>
      </c>
    </row>
    <row r="637" spans="3:5" x14ac:dyDescent="0.25">
      <c r="C637" s="31">
        <f t="shared" ca="1" si="34"/>
        <v>53.446530604157708</v>
      </c>
      <c r="E637">
        <v>65.88770355458351</v>
      </c>
    </row>
    <row r="638" spans="3:5" x14ac:dyDescent="0.25">
      <c r="C638" s="31">
        <f t="shared" ref="C638:C701" ca="1" si="35">_xlfn.NORM.INV(RAND(),C$4,C$5)</f>
        <v>51.748742893526916</v>
      </c>
      <c r="E638">
        <v>74.011066665554125</v>
      </c>
    </row>
    <row r="639" spans="3:5" x14ac:dyDescent="0.25">
      <c r="C639" s="31">
        <f t="shared" ca="1" si="35"/>
        <v>52.970419812517875</v>
      </c>
      <c r="E639">
        <v>73.565874395252152</v>
      </c>
    </row>
    <row r="640" spans="3:5" x14ac:dyDescent="0.25">
      <c r="C640" s="31">
        <f t="shared" ca="1" si="35"/>
        <v>55.397025124819599</v>
      </c>
      <c r="E640">
        <v>44.115970276275718</v>
      </c>
    </row>
    <row r="641" spans="3:5" x14ac:dyDescent="0.25">
      <c r="C641" s="31">
        <f t="shared" ca="1" si="35"/>
        <v>52.642367006601091</v>
      </c>
      <c r="E641">
        <v>65.05363317434005</v>
      </c>
    </row>
    <row r="642" spans="3:5" x14ac:dyDescent="0.25">
      <c r="C642" s="31">
        <f t="shared" ca="1" si="35"/>
        <v>50.836727015939566</v>
      </c>
      <c r="E642">
        <v>49.727080223653104</v>
      </c>
    </row>
    <row r="643" spans="3:5" x14ac:dyDescent="0.25">
      <c r="C643" s="31">
        <f t="shared" ca="1" si="35"/>
        <v>66.420852413868275</v>
      </c>
      <c r="E643">
        <v>58.302442194350846</v>
      </c>
    </row>
    <row r="644" spans="3:5" x14ac:dyDescent="0.25">
      <c r="C644" s="31">
        <f t="shared" ca="1" si="35"/>
        <v>66.867030069472364</v>
      </c>
      <c r="E644">
        <v>57.466011863633305</v>
      </c>
    </row>
    <row r="645" spans="3:5" x14ac:dyDescent="0.25">
      <c r="C645" s="31">
        <f t="shared" ca="1" si="35"/>
        <v>65.692904484948414</v>
      </c>
      <c r="E645">
        <v>66.346679625437631</v>
      </c>
    </row>
    <row r="646" spans="3:5" x14ac:dyDescent="0.25">
      <c r="C646" s="31">
        <f t="shared" ca="1" si="35"/>
        <v>57.585699427162979</v>
      </c>
      <c r="E646">
        <v>69.199645648006197</v>
      </c>
    </row>
    <row r="647" spans="3:5" x14ac:dyDescent="0.25">
      <c r="C647" s="31">
        <f t="shared" ca="1" si="35"/>
        <v>57.47320238821915</v>
      </c>
      <c r="E647">
        <v>67.604002950240002</v>
      </c>
    </row>
    <row r="648" spans="3:5" x14ac:dyDescent="0.25">
      <c r="C648" s="31">
        <f t="shared" ca="1" si="35"/>
        <v>69.427753204454746</v>
      </c>
      <c r="E648">
        <v>56.855326360279228</v>
      </c>
    </row>
    <row r="649" spans="3:5" x14ac:dyDescent="0.25">
      <c r="C649" s="31">
        <f t="shared" ca="1" si="35"/>
        <v>64.049590543241692</v>
      </c>
      <c r="E649">
        <v>64.439682700069568</v>
      </c>
    </row>
    <row r="650" spans="3:5" x14ac:dyDescent="0.25">
      <c r="C650" s="31">
        <f t="shared" ca="1" si="35"/>
        <v>61.401035471297867</v>
      </c>
      <c r="E650">
        <v>48.710072810634273</v>
      </c>
    </row>
    <row r="651" spans="3:5" x14ac:dyDescent="0.25">
      <c r="C651" s="31">
        <f t="shared" ca="1" si="35"/>
        <v>75.213930668269157</v>
      </c>
      <c r="E651">
        <v>58.072052131183398</v>
      </c>
    </row>
    <row r="652" spans="3:5" x14ac:dyDescent="0.25">
      <c r="C652" s="31">
        <f t="shared" ca="1" si="35"/>
        <v>44.447517486416444</v>
      </c>
      <c r="E652">
        <v>56.988978618689643</v>
      </c>
    </row>
    <row r="653" spans="3:5" x14ac:dyDescent="0.25">
      <c r="C653" s="31">
        <f t="shared" ca="1" si="35"/>
        <v>65.994209168046595</v>
      </c>
      <c r="E653">
        <v>54.929119416472155</v>
      </c>
    </row>
    <row r="654" spans="3:5" x14ac:dyDescent="0.25">
      <c r="C654" s="31">
        <f t="shared" ca="1" si="35"/>
        <v>66.560470425673699</v>
      </c>
      <c r="E654">
        <v>74.682562418424581</v>
      </c>
    </row>
    <row r="655" spans="3:5" x14ac:dyDescent="0.25">
      <c r="C655" s="31">
        <f t="shared" ca="1" si="35"/>
        <v>57.000565196754678</v>
      </c>
      <c r="E655">
        <v>48.26135514531795</v>
      </c>
    </row>
    <row r="656" spans="3:5" x14ac:dyDescent="0.25">
      <c r="C656" s="31">
        <f t="shared" ca="1" si="35"/>
        <v>36.694367227675556</v>
      </c>
      <c r="E656">
        <v>47.306746264283596</v>
      </c>
    </row>
    <row r="657" spans="3:5" x14ac:dyDescent="0.25">
      <c r="C657" s="31">
        <f t="shared" ca="1" si="35"/>
        <v>79.533047885072079</v>
      </c>
      <c r="E657">
        <v>58.885878545910508</v>
      </c>
    </row>
    <row r="658" spans="3:5" x14ac:dyDescent="0.25">
      <c r="C658" s="31">
        <f t="shared" ca="1" si="35"/>
        <v>52.427206598131399</v>
      </c>
      <c r="E658">
        <v>42.778353356333966</v>
      </c>
    </row>
    <row r="659" spans="3:5" x14ac:dyDescent="0.25">
      <c r="C659" s="31">
        <f t="shared" ca="1" si="35"/>
        <v>64.477451597584334</v>
      </c>
      <c r="E659">
        <v>72.976143851034649</v>
      </c>
    </row>
    <row r="660" spans="3:5" x14ac:dyDescent="0.25">
      <c r="C660" s="31">
        <f t="shared" ca="1" si="35"/>
        <v>50.780785819116048</v>
      </c>
      <c r="E660">
        <v>65.540628228468236</v>
      </c>
    </row>
    <row r="661" spans="3:5" x14ac:dyDescent="0.25">
      <c r="C661" s="31">
        <f t="shared" ca="1" si="35"/>
        <v>57.502972950689205</v>
      </c>
      <c r="E661">
        <v>57.616687412674558</v>
      </c>
    </row>
    <row r="662" spans="3:5" x14ac:dyDescent="0.25">
      <c r="C662" s="31">
        <f t="shared" ca="1" si="35"/>
        <v>37.423850709452168</v>
      </c>
      <c r="E662">
        <v>52.831704806810194</v>
      </c>
    </row>
    <row r="663" spans="3:5" x14ac:dyDescent="0.25">
      <c r="C663" s="31">
        <f t="shared" ca="1" si="35"/>
        <v>86.225536051782143</v>
      </c>
      <c r="E663">
        <v>79.828703131609146</v>
      </c>
    </row>
    <row r="664" spans="3:5" x14ac:dyDescent="0.25">
      <c r="C664" s="31">
        <f t="shared" ca="1" si="35"/>
        <v>73.358504716893634</v>
      </c>
      <c r="E664">
        <v>52.416907226133169</v>
      </c>
    </row>
    <row r="665" spans="3:5" x14ac:dyDescent="0.25">
      <c r="C665" s="31">
        <f t="shared" ca="1" si="35"/>
        <v>52.679873732593059</v>
      </c>
      <c r="E665">
        <v>59.284620962449843</v>
      </c>
    </row>
    <row r="666" spans="3:5" x14ac:dyDescent="0.25">
      <c r="C666" s="31">
        <f t="shared" ca="1" si="35"/>
        <v>53.361515488607594</v>
      </c>
      <c r="E666">
        <v>65.848243238112559</v>
      </c>
    </row>
    <row r="667" spans="3:5" x14ac:dyDescent="0.25">
      <c r="C667" s="31">
        <f t="shared" ca="1" si="35"/>
        <v>66.836343870391161</v>
      </c>
      <c r="E667">
        <v>51.739353936189573</v>
      </c>
    </row>
    <row r="668" spans="3:5" x14ac:dyDescent="0.25">
      <c r="C668" s="31">
        <f t="shared" ca="1" si="35"/>
        <v>61.261217507088126</v>
      </c>
      <c r="E668">
        <v>45.790159813336508</v>
      </c>
    </row>
    <row r="669" spans="3:5" x14ac:dyDescent="0.25">
      <c r="C669" s="31">
        <f t="shared" ca="1" si="35"/>
        <v>57.861358706521834</v>
      </c>
      <c r="E669">
        <v>59.558067242519023</v>
      </c>
    </row>
    <row r="670" spans="3:5" x14ac:dyDescent="0.25">
      <c r="C670" s="31">
        <f t="shared" ca="1" si="35"/>
        <v>56.140921301209346</v>
      </c>
      <c r="E670">
        <v>57.794568354581116</v>
      </c>
    </row>
    <row r="671" spans="3:5" x14ac:dyDescent="0.25">
      <c r="C671" s="31">
        <f t="shared" ca="1" si="35"/>
        <v>41.238157467369</v>
      </c>
      <c r="E671">
        <v>61.30221851128637</v>
      </c>
    </row>
    <row r="672" spans="3:5" x14ac:dyDescent="0.25">
      <c r="C672" s="31">
        <f t="shared" ca="1" si="35"/>
        <v>63.930099086107482</v>
      </c>
      <c r="E672">
        <v>61.236289310825697</v>
      </c>
    </row>
    <row r="673" spans="3:5" x14ac:dyDescent="0.25">
      <c r="C673" s="31">
        <f t="shared" ca="1" si="35"/>
        <v>42.452185812334228</v>
      </c>
      <c r="E673">
        <v>58.224742423489168</v>
      </c>
    </row>
    <row r="674" spans="3:5" x14ac:dyDescent="0.25">
      <c r="C674" s="31">
        <f t="shared" ca="1" si="35"/>
        <v>57.316262728381659</v>
      </c>
      <c r="E674">
        <v>71.144925318850227</v>
      </c>
    </row>
    <row r="675" spans="3:5" x14ac:dyDescent="0.25">
      <c r="C675" s="31">
        <f t="shared" ca="1" si="35"/>
        <v>49.545401461465417</v>
      </c>
      <c r="E675">
        <v>59.84423471267376</v>
      </c>
    </row>
    <row r="676" spans="3:5" x14ac:dyDescent="0.25">
      <c r="C676" s="31">
        <f t="shared" ca="1" si="35"/>
        <v>54.706005284297348</v>
      </c>
      <c r="E676">
        <v>63.584295417019305</v>
      </c>
    </row>
    <row r="677" spans="3:5" x14ac:dyDescent="0.25">
      <c r="C677" s="31">
        <f t="shared" ca="1" si="35"/>
        <v>82.58573629237398</v>
      </c>
      <c r="E677">
        <v>54.255384156885569</v>
      </c>
    </row>
    <row r="678" spans="3:5" x14ac:dyDescent="0.25">
      <c r="C678" s="31">
        <f t="shared" ca="1" si="35"/>
        <v>60.246888280803191</v>
      </c>
      <c r="E678">
        <v>62.792263696589778</v>
      </c>
    </row>
    <row r="679" spans="3:5" x14ac:dyDescent="0.25">
      <c r="C679" s="31">
        <f t="shared" ca="1" si="35"/>
        <v>61.709398923517242</v>
      </c>
      <c r="E679">
        <v>65.255689325901542</v>
      </c>
    </row>
    <row r="680" spans="3:5" x14ac:dyDescent="0.25">
      <c r="C680" s="31">
        <f t="shared" ca="1" si="35"/>
        <v>79.103536869076748</v>
      </c>
      <c r="E680">
        <v>52.158875994259681</v>
      </c>
    </row>
    <row r="681" spans="3:5" x14ac:dyDescent="0.25">
      <c r="C681" s="31">
        <f t="shared" ca="1" si="35"/>
        <v>42.814861740327729</v>
      </c>
      <c r="E681">
        <v>59.351109243656637</v>
      </c>
    </row>
    <row r="682" spans="3:5" x14ac:dyDescent="0.25">
      <c r="C682" s="31">
        <f t="shared" ca="1" si="35"/>
        <v>73.868111039653826</v>
      </c>
      <c r="E682">
        <v>47.160984122996076</v>
      </c>
    </row>
    <row r="683" spans="3:5" x14ac:dyDescent="0.25">
      <c r="C683" s="31">
        <f t="shared" ca="1" si="35"/>
        <v>61.859205515034191</v>
      </c>
      <c r="E683">
        <v>65.01792173355031</v>
      </c>
    </row>
    <row r="684" spans="3:5" x14ac:dyDescent="0.25">
      <c r="C684" s="31">
        <f t="shared" ca="1" si="35"/>
        <v>52.15464158293878</v>
      </c>
      <c r="E684">
        <v>64.219764513472199</v>
      </c>
    </row>
    <row r="685" spans="3:5" x14ac:dyDescent="0.25">
      <c r="C685" s="31">
        <f t="shared" ca="1" si="35"/>
        <v>66.567102314330981</v>
      </c>
      <c r="E685">
        <v>50.587798897982523</v>
      </c>
    </row>
    <row r="686" spans="3:5" x14ac:dyDescent="0.25">
      <c r="C686" s="31">
        <f t="shared" ca="1" si="35"/>
        <v>68.248523421839948</v>
      </c>
      <c r="E686">
        <v>66.714198560079794</v>
      </c>
    </row>
    <row r="687" spans="3:5" x14ac:dyDescent="0.25">
      <c r="C687" s="31">
        <f t="shared" ca="1" si="35"/>
        <v>58.229706760455613</v>
      </c>
      <c r="E687">
        <v>53.773789668532359</v>
      </c>
    </row>
    <row r="688" spans="3:5" x14ac:dyDescent="0.25">
      <c r="C688" s="31">
        <f t="shared" ca="1" si="35"/>
        <v>48.605580253859095</v>
      </c>
      <c r="E688">
        <v>47.89325937352821</v>
      </c>
    </row>
    <row r="689" spans="3:5" x14ac:dyDescent="0.25">
      <c r="C689" s="31">
        <f t="shared" ca="1" si="35"/>
        <v>69.485800820362883</v>
      </c>
      <c r="E689">
        <v>54.371500307316438</v>
      </c>
    </row>
    <row r="690" spans="3:5" x14ac:dyDescent="0.25">
      <c r="C690" s="31">
        <f t="shared" ca="1" si="35"/>
        <v>65.290844330710826</v>
      </c>
      <c r="E690">
        <v>58.857778454000197</v>
      </c>
    </row>
    <row r="691" spans="3:5" x14ac:dyDescent="0.25">
      <c r="C691" s="31">
        <f t="shared" ca="1" si="35"/>
        <v>66.752751955064525</v>
      </c>
      <c r="E691">
        <v>60.820544700164277</v>
      </c>
    </row>
    <row r="692" spans="3:5" x14ac:dyDescent="0.25">
      <c r="C692" s="31">
        <f t="shared" ca="1" si="35"/>
        <v>65.943559673096757</v>
      </c>
      <c r="E692">
        <v>62.040158885954597</v>
      </c>
    </row>
    <row r="693" spans="3:5" x14ac:dyDescent="0.25">
      <c r="C693" s="31">
        <f t="shared" ca="1" si="35"/>
        <v>57.743322690224616</v>
      </c>
      <c r="E693">
        <v>81.794262908553236</v>
      </c>
    </row>
    <row r="694" spans="3:5" x14ac:dyDescent="0.25">
      <c r="C694" s="31">
        <f t="shared" ca="1" si="35"/>
        <v>72.406841094010844</v>
      </c>
      <c r="E694">
        <v>66.97564149562379</v>
      </c>
    </row>
    <row r="695" spans="3:5" x14ac:dyDescent="0.25">
      <c r="C695" s="31">
        <f t="shared" ca="1" si="35"/>
        <v>63.578519312416454</v>
      </c>
      <c r="E695">
        <v>73.51132431828303</v>
      </c>
    </row>
    <row r="696" spans="3:5" x14ac:dyDescent="0.25">
      <c r="C696" s="31">
        <f t="shared" ca="1" si="35"/>
        <v>48.325168173345887</v>
      </c>
      <c r="E696">
        <v>55.596955864849278</v>
      </c>
    </row>
    <row r="697" spans="3:5" x14ac:dyDescent="0.25">
      <c r="C697" s="31">
        <f t="shared" ca="1" si="35"/>
        <v>65.115679008220951</v>
      </c>
      <c r="E697">
        <v>46.095675038800209</v>
      </c>
    </row>
    <row r="698" spans="3:5" x14ac:dyDescent="0.25">
      <c r="C698" s="31">
        <f t="shared" ca="1" si="35"/>
        <v>47.609493641061761</v>
      </c>
      <c r="E698">
        <v>51.131227939903603</v>
      </c>
    </row>
    <row r="699" spans="3:5" x14ac:dyDescent="0.25">
      <c r="C699" s="31">
        <f t="shared" ca="1" si="35"/>
        <v>59.297077413007855</v>
      </c>
      <c r="E699">
        <v>66.636838116625896</v>
      </c>
    </row>
    <row r="700" spans="3:5" x14ac:dyDescent="0.25">
      <c r="C700" s="31">
        <f t="shared" ca="1" si="35"/>
        <v>66.321051690323415</v>
      </c>
      <c r="E700">
        <v>57.425755089225646</v>
      </c>
    </row>
    <row r="701" spans="3:5" x14ac:dyDescent="0.25">
      <c r="C701" s="31">
        <f t="shared" ca="1" si="35"/>
        <v>49.384345406308668</v>
      </c>
      <c r="E701">
        <v>59.846706161968761</v>
      </c>
    </row>
    <row r="702" spans="3:5" x14ac:dyDescent="0.25">
      <c r="C702" s="31">
        <f t="shared" ref="C702:C765" ca="1" si="36">_xlfn.NORM.INV(RAND(),C$4,C$5)</f>
        <v>69.292093943423339</v>
      </c>
      <c r="E702">
        <v>61.850916942033344</v>
      </c>
    </row>
    <row r="703" spans="3:5" x14ac:dyDescent="0.25">
      <c r="C703" s="31">
        <f t="shared" ca="1" si="36"/>
        <v>36.705642466061377</v>
      </c>
      <c r="E703">
        <v>60.321289506490537</v>
      </c>
    </row>
    <row r="704" spans="3:5" x14ac:dyDescent="0.25">
      <c r="C704" s="31">
        <f t="shared" ca="1" si="36"/>
        <v>52.285804491677609</v>
      </c>
      <c r="E704">
        <v>70.232674128836933</v>
      </c>
    </row>
    <row r="705" spans="3:5" x14ac:dyDescent="0.25">
      <c r="C705" s="31">
        <f t="shared" ca="1" si="36"/>
        <v>49.957098125460043</v>
      </c>
      <c r="E705">
        <v>53.914831547841032</v>
      </c>
    </row>
    <row r="706" spans="3:5" x14ac:dyDescent="0.25">
      <c r="C706" s="31">
        <f t="shared" ca="1" si="36"/>
        <v>51.702744355436103</v>
      </c>
      <c r="E706">
        <v>72.767723836931538</v>
      </c>
    </row>
    <row r="707" spans="3:5" x14ac:dyDescent="0.25">
      <c r="C707" s="31">
        <f t="shared" ca="1" si="36"/>
        <v>64.097303632447733</v>
      </c>
      <c r="E707">
        <v>70.456824806410822</v>
      </c>
    </row>
    <row r="708" spans="3:5" x14ac:dyDescent="0.25">
      <c r="C708" s="31">
        <f t="shared" ca="1" si="36"/>
        <v>39.007439011358159</v>
      </c>
      <c r="E708">
        <v>77.205841558948819</v>
      </c>
    </row>
    <row r="709" spans="3:5" x14ac:dyDescent="0.25">
      <c r="C709" s="31">
        <f t="shared" ca="1" si="36"/>
        <v>56.458596123979476</v>
      </c>
      <c r="E709">
        <v>70.235909270415718</v>
      </c>
    </row>
    <row r="710" spans="3:5" x14ac:dyDescent="0.25">
      <c r="C710" s="31">
        <f t="shared" ca="1" si="36"/>
        <v>48.818400267505552</v>
      </c>
      <c r="E710">
        <v>55.041345899335852</v>
      </c>
    </row>
    <row r="711" spans="3:5" x14ac:dyDescent="0.25">
      <c r="C711" s="31">
        <f t="shared" ca="1" si="36"/>
        <v>53.458534730689109</v>
      </c>
      <c r="E711">
        <v>50.432743076283387</v>
      </c>
    </row>
    <row r="712" spans="3:5" x14ac:dyDescent="0.25">
      <c r="C712" s="31">
        <f t="shared" ca="1" si="36"/>
        <v>71.436313726168834</v>
      </c>
      <c r="E712">
        <v>61.917181185837912</v>
      </c>
    </row>
    <row r="713" spans="3:5" x14ac:dyDescent="0.25">
      <c r="C713" s="31">
        <f t="shared" ca="1" si="36"/>
        <v>58.500382736116038</v>
      </c>
      <c r="E713">
        <v>57.098167708049047</v>
      </c>
    </row>
    <row r="714" spans="3:5" x14ac:dyDescent="0.25">
      <c r="C714" s="31">
        <f t="shared" ca="1" si="36"/>
        <v>65.423134705792606</v>
      </c>
      <c r="E714">
        <v>53.762537825400578</v>
      </c>
    </row>
    <row r="715" spans="3:5" x14ac:dyDescent="0.25">
      <c r="C715" s="31">
        <f t="shared" ca="1" si="36"/>
        <v>66.368610674802781</v>
      </c>
      <c r="E715">
        <v>62.385674979930926</v>
      </c>
    </row>
    <row r="716" spans="3:5" x14ac:dyDescent="0.25">
      <c r="C716" s="31">
        <f t="shared" ca="1" si="36"/>
        <v>65.536160231187509</v>
      </c>
      <c r="E716">
        <v>93.684585600294852</v>
      </c>
    </row>
    <row r="717" spans="3:5" x14ac:dyDescent="0.25">
      <c r="C717" s="31">
        <f t="shared" ca="1" si="36"/>
        <v>60.732795178285947</v>
      </c>
      <c r="E717">
        <v>59.62251862941234</v>
      </c>
    </row>
    <row r="718" spans="3:5" x14ac:dyDescent="0.25">
      <c r="C718" s="31">
        <f t="shared" ca="1" si="36"/>
        <v>81.156772258992987</v>
      </c>
      <c r="E718">
        <v>58.314135157211489</v>
      </c>
    </row>
    <row r="719" spans="3:5" x14ac:dyDescent="0.25">
      <c r="C719" s="31">
        <f t="shared" ca="1" si="36"/>
        <v>63.625263594061011</v>
      </c>
      <c r="E719">
        <v>57.576205916951949</v>
      </c>
    </row>
    <row r="720" spans="3:5" x14ac:dyDescent="0.25">
      <c r="C720" s="31">
        <f t="shared" ca="1" si="36"/>
        <v>59.387897423989202</v>
      </c>
      <c r="E720">
        <v>76.686122267998257</v>
      </c>
    </row>
    <row r="721" spans="3:5" x14ac:dyDescent="0.25">
      <c r="C721" s="31">
        <f t="shared" ca="1" si="36"/>
        <v>57.073963646473317</v>
      </c>
      <c r="E721">
        <v>62.919755872690132</v>
      </c>
    </row>
    <row r="722" spans="3:5" x14ac:dyDescent="0.25">
      <c r="C722" s="31">
        <f t="shared" ca="1" si="36"/>
        <v>60.292835740550217</v>
      </c>
      <c r="E722">
        <v>77.412251962557377</v>
      </c>
    </row>
    <row r="723" spans="3:5" x14ac:dyDescent="0.25">
      <c r="C723" s="31">
        <f t="shared" ca="1" si="36"/>
        <v>46.605618143357312</v>
      </c>
      <c r="E723">
        <v>52.986826217176379</v>
      </c>
    </row>
    <row r="724" spans="3:5" x14ac:dyDescent="0.25">
      <c r="C724" s="31">
        <f t="shared" ca="1" si="36"/>
        <v>64.265037332639565</v>
      </c>
      <c r="E724">
        <v>51.701307342901345</v>
      </c>
    </row>
    <row r="725" spans="3:5" x14ac:dyDescent="0.25">
      <c r="C725" s="31">
        <f t="shared" ca="1" si="36"/>
        <v>60.473707098334877</v>
      </c>
      <c r="E725">
        <v>57.924953049420211</v>
      </c>
    </row>
    <row r="726" spans="3:5" x14ac:dyDescent="0.25">
      <c r="C726" s="31">
        <f t="shared" ca="1" si="36"/>
        <v>58.927504824525911</v>
      </c>
      <c r="E726">
        <v>57.865622647282912</v>
      </c>
    </row>
    <row r="727" spans="3:5" x14ac:dyDescent="0.25">
      <c r="C727" s="31">
        <f t="shared" ca="1" si="36"/>
        <v>66.120636510240075</v>
      </c>
      <c r="E727">
        <v>74.333542980553801</v>
      </c>
    </row>
    <row r="728" spans="3:5" x14ac:dyDescent="0.25">
      <c r="C728" s="31">
        <f t="shared" ca="1" si="36"/>
        <v>45.889803738829336</v>
      </c>
      <c r="E728">
        <v>63.921100704927071</v>
      </c>
    </row>
    <row r="729" spans="3:5" x14ac:dyDescent="0.25">
      <c r="C729" s="31">
        <f t="shared" ca="1" si="36"/>
        <v>62.934469386875918</v>
      </c>
      <c r="E729">
        <v>49.894470529395292</v>
      </c>
    </row>
    <row r="730" spans="3:5" x14ac:dyDescent="0.25">
      <c r="C730" s="31">
        <f t="shared" ca="1" si="36"/>
        <v>50.815664877754152</v>
      </c>
      <c r="E730">
        <v>54.060210872440379</v>
      </c>
    </row>
    <row r="731" spans="3:5" x14ac:dyDescent="0.25">
      <c r="C731" s="31">
        <f t="shared" ca="1" si="36"/>
        <v>54.240559081279414</v>
      </c>
      <c r="E731">
        <v>58.707822506579085</v>
      </c>
    </row>
    <row r="732" spans="3:5" x14ac:dyDescent="0.25">
      <c r="C732" s="31">
        <f t="shared" ca="1" si="36"/>
        <v>62.970160462270556</v>
      </c>
      <c r="E732">
        <v>70.553254819581014</v>
      </c>
    </row>
    <row r="733" spans="3:5" x14ac:dyDescent="0.25">
      <c r="C733" s="31">
        <f t="shared" ca="1" si="36"/>
        <v>44.167849365865948</v>
      </c>
      <c r="E733">
        <v>59.629243510585233</v>
      </c>
    </row>
    <row r="734" spans="3:5" x14ac:dyDescent="0.25">
      <c r="C734" s="31">
        <f t="shared" ca="1" si="36"/>
        <v>54.646690901007027</v>
      </c>
      <c r="E734">
        <v>60.012820664721168</v>
      </c>
    </row>
    <row r="735" spans="3:5" x14ac:dyDescent="0.25">
      <c r="C735" s="31">
        <f t="shared" ca="1" si="36"/>
        <v>60.688824768199233</v>
      </c>
      <c r="E735">
        <v>47.039497934354273</v>
      </c>
    </row>
    <row r="736" spans="3:5" x14ac:dyDescent="0.25">
      <c r="C736" s="31">
        <f t="shared" ca="1" si="36"/>
        <v>61.226965729813699</v>
      </c>
      <c r="E736">
        <v>57.714887003987528</v>
      </c>
    </row>
    <row r="737" spans="3:5" x14ac:dyDescent="0.25">
      <c r="C737" s="31">
        <f t="shared" ca="1" si="36"/>
        <v>64.37508674150142</v>
      </c>
      <c r="E737">
        <v>64.125088188249876</v>
      </c>
    </row>
    <row r="738" spans="3:5" x14ac:dyDescent="0.25">
      <c r="C738" s="31">
        <f t="shared" ca="1" si="36"/>
        <v>47.057683620004781</v>
      </c>
      <c r="E738">
        <v>68.371098777617064</v>
      </c>
    </row>
    <row r="739" spans="3:5" x14ac:dyDescent="0.25">
      <c r="C739" s="31">
        <f t="shared" ca="1" si="36"/>
        <v>59.81768436381391</v>
      </c>
      <c r="E739">
        <v>52.980817265040152</v>
      </c>
    </row>
    <row r="740" spans="3:5" x14ac:dyDescent="0.25">
      <c r="C740" s="31">
        <f t="shared" ca="1" si="36"/>
        <v>73.24487624682348</v>
      </c>
      <c r="E740">
        <v>45.162143324306953</v>
      </c>
    </row>
    <row r="741" spans="3:5" x14ac:dyDescent="0.25">
      <c r="C741" s="31">
        <f t="shared" ca="1" si="36"/>
        <v>71.953495405337421</v>
      </c>
      <c r="E741">
        <v>59.154698770869366</v>
      </c>
    </row>
    <row r="742" spans="3:5" x14ac:dyDescent="0.25">
      <c r="C742" s="31">
        <f t="shared" ca="1" si="36"/>
        <v>62.522268931146876</v>
      </c>
      <c r="E742">
        <v>38.771802163285393</v>
      </c>
    </row>
    <row r="743" spans="3:5" x14ac:dyDescent="0.25">
      <c r="C743" s="31">
        <f t="shared" ca="1" si="36"/>
        <v>67.050870148672502</v>
      </c>
      <c r="E743">
        <v>68.160374052835792</v>
      </c>
    </row>
    <row r="744" spans="3:5" x14ac:dyDescent="0.25">
      <c r="C744" s="31">
        <f t="shared" ca="1" si="36"/>
        <v>73.501047777314753</v>
      </c>
      <c r="E744">
        <v>58.216808972090931</v>
      </c>
    </row>
    <row r="745" spans="3:5" x14ac:dyDescent="0.25">
      <c r="C745" s="31">
        <f t="shared" ca="1" si="36"/>
        <v>62.016629587853359</v>
      </c>
      <c r="E745">
        <v>69.710444734690086</v>
      </c>
    </row>
    <row r="746" spans="3:5" x14ac:dyDescent="0.25">
      <c r="C746" s="31">
        <f t="shared" ca="1" si="36"/>
        <v>53.255831635749765</v>
      </c>
      <c r="E746">
        <v>55.576780762528905</v>
      </c>
    </row>
    <row r="747" spans="3:5" x14ac:dyDescent="0.25">
      <c r="C747" s="31">
        <f t="shared" ca="1" si="36"/>
        <v>35.747384161367194</v>
      </c>
      <c r="E747">
        <v>71.164693369205509</v>
      </c>
    </row>
    <row r="748" spans="3:5" x14ac:dyDescent="0.25">
      <c r="C748" s="31">
        <f t="shared" ca="1" si="36"/>
        <v>54.515201289709225</v>
      </c>
      <c r="E748">
        <v>62.348259954554045</v>
      </c>
    </row>
    <row r="749" spans="3:5" x14ac:dyDescent="0.25">
      <c r="C749" s="31">
        <f t="shared" ca="1" si="36"/>
        <v>71.067220946182005</v>
      </c>
      <c r="E749">
        <v>62.069440823886204</v>
      </c>
    </row>
    <row r="750" spans="3:5" x14ac:dyDescent="0.25">
      <c r="C750" s="31">
        <f t="shared" ca="1" si="36"/>
        <v>62.212015705677175</v>
      </c>
      <c r="E750">
        <v>49.198007886471736</v>
      </c>
    </row>
    <row r="751" spans="3:5" x14ac:dyDescent="0.25">
      <c r="C751" s="31">
        <f t="shared" ca="1" si="36"/>
        <v>61.520839857292508</v>
      </c>
      <c r="E751">
        <v>66.785631771118332</v>
      </c>
    </row>
    <row r="752" spans="3:5" x14ac:dyDescent="0.25">
      <c r="C752" s="31">
        <f t="shared" ca="1" si="36"/>
        <v>49.010592889062941</v>
      </c>
      <c r="E752">
        <v>53.152957630873367</v>
      </c>
    </row>
    <row r="753" spans="3:5" x14ac:dyDescent="0.25">
      <c r="C753" s="31">
        <f t="shared" ca="1" si="36"/>
        <v>52.370198621461064</v>
      </c>
      <c r="E753">
        <v>59.869758185529982</v>
      </c>
    </row>
    <row r="754" spans="3:5" x14ac:dyDescent="0.25">
      <c r="C754" s="31">
        <f t="shared" ca="1" si="36"/>
        <v>61.323063752943085</v>
      </c>
      <c r="E754">
        <v>72.467258265745798</v>
      </c>
    </row>
    <row r="755" spans="3:5" x14ac:dyDescent="0.25">
      <c r="C755" s="31">
        <f t="shared" ca="1" si="36"/>
        <v>59.574869930309653</v>
      </c>
      <c r="E755">
        <v>60.752331418566342</v>
      </c>
    </row>
    <row r="756" spans="3:5" x14ac:dyDescent="0.25">
      <c r="C756" s="31">
        <f t="shared" ca="1" si="36"/>
        <v>75.292565533017736</v>
      </c>
      <c r="E756">
        <v>63.69834406560728</v>
      </c>
    </row>
    <row r="757" spans="3:5" x14ac:dyDescent="0.25">
      <c r="C757" s="31">
        <f t="shared" ca="1" si="36"/>
        <v>53.619743523691092</v>
      </c>
      <c r="E757">
        <v>52.814833264250339</v>
      </c>
    </row>
    <row r="758" spans="3:5" x14ac:dyDescent="0.25">
      <c r="C758" s="31">
        <f t="shared" ca="1" si="36"/>
        <v>75.672894365840605</v>
      </c>
      <c r="E758">
        <v>66.413570315134848</v>
      </c>
    </row>
    <row r="759" spans="3:5" x14ac:dyDescent="0.25">
      <c r="C759" s="31">
        <f t="shared" ca="1" si="36"/>
        <v>60.306712452465618</v>
      </c>
      <c r="E759">
        <v>54.20283846308908</v>
      </c>
    </row>
    <row r="760" spans="3:5" x14ac:dyDescent="0.25">
      <c r="C760" s="31">
        <f t="shared" ca="1" si="36"/>
        <v>43.998637230409528</v>
      </c>
      <c r="E760">
        <v>54.391884143701105</v>
      </c>
    </row>
    <row r="761" spans="3:5" x14ac:dyDescent="0.25">
      <c r="C761" s="31">
        <f t="shared" ca="1" si="36"/>
        <v>73.335805325617059</v>
      </c>
      <c r="E761">
        <v>53.492793905622861</v>
      </c>
    </row>
    <row r="762" spans="3:5" x14ac:dyDescent="0.25">
      <c r="C762" s="31">
        <f t="shared" ca="1" si="36"/>
        <v>53.907354866878222</v>
      </c>
      <c r="E762">
        <v>85.039728672428197</v>
      </c>
    </row>
    <row r="763" spans="3:5" x14ac:dyDescent="0.25">
      <c r="C763" s="31">
        <f t="shared" ca="1" si="36"/>
        <v>51.354381039413767</v>
      </c>
      <c r="E763">
        <v>56.271668935484072</v>
      </c>
    </row>
    <row r="764" spans="3:5" x14ac:dyDescent="0.25">
      <c r="C764" s="31">
        <f t="shared" ca="1" si="36"/>
        <v>66.986103463026211</v>
      </c>
      <c r="E764">
        <v>46.749323994563454</v>
      </c>
    </row>
    <row r="765" spans="3:5" x14ac:dyDescent="0.25">
      <c r="C765" s="31">
        <f t="shared" ca="1" si="36"/>
        <v>59.654548046007662</v>
      </c>
      <c r="E765">
        <v>51.994955710397235</v>
      </c>
    </row>
    <row r="766" spans="3:5" x14ac:dyDescent="0.25">
      <c r="C766" s="31">
        <f t="shared" ref="C766:C829" ca="1" si="37">_xlfn.NORM.INV(RAND(),C$4,C$5)</f>
        <v>48.440728449123966</v>
      </c>
      <c r="E766">
        <v>60.137335608991151</v>
      </c>
    </row>
    <row r="767" spans="3:5" x14ac:dyDescent="0.25">
      <c r="C767" s="31">
        <f t="shared" ca="1" si="37"/>
        <v>57.280483048491341</v>
      </c>
      <c r="E767">
        <v>73.011965915208435</v>
      </c>
    </row>
    <row r="768" spans="3:5" x14ac:dyDescent="0.25">
      <c r="C768" s="31">
        <f t="shared" ca="1" si="37"/>
        <v>64.753247059866098</v>
      </c>
      <c r="E768">
        <v>47.010877412313377</v>
      </c>
    </row>
    <row r="769" spans="3:5" x14ac:dyDescent="0.25">
      <c r="C769" s="31">
        <f t="shared" ca="1" si="37"/>
        <v>72.734475622031482</v>
      </c>
      <c r="E769">
        <v>64.488466845689331</v>
      </c>
    </row>
    <row r="770" spans="3:5" x14ac:dyDescent="0.25">
      <c r="C770" s="31">
        <f t="shared" ca="1" si="37"/>
        <v>70.525152186131223</v>
      </c>
      <c r="E770">
        <v>43.257428562185822</v>
      </c>
    </row>
    <row r="771" spans="3:5" x14ac:dyDescent="0.25">
      <c r="C771" s="31">
        <f t="shared" ca="1" si="37"/>
        <v>61.439534456764576</v>
      </c>
      <c r="E771">
        <v>47.410826968717586</v>
      </c>
    </row>
    <row r="772" spans="3:5" x14ac:dyDescent="0.25">
      <c r="C772" s="31">
        <f t="shared" ca="1" si="37"/>
        <v>60.915962963962599</v>
      </c>
      <c r="E772">
        <v>64.013608061951103</v>
      </c>
    </row>
    <row r="773" spans="3:5" x14ac:dyDescent="0.25">
      <c r="C773" s="31">
        <f t="shared" ca="1" si="37"/>
        <v>49.420011709790117</v>
      </c>
      <c r="E773">
        <v>66.227079326667095</v>
      </c>
    </row>
    <row r="774" spans="3:5" x14ac:dyDescent="0.25">
      <c r="C774" s="31">
        <f t="shared" ca="1" si="37"/>
        <v>55.028626002698317</v>
      </c>
      <c r="E774">
        <v>63.352279086221657</v>
      </c>
    </row>
    <row r="775" spans="3:5" x14ac:dyDescent="0.25">
      <c r="C775" s="31">
        <f t="shared" ca="1" si="37"/>
        <v>81.102197751605075</v>
      </c>
      <c r="E775">
        <v>49.389517530689737</v>
      </c>
    </row>
    <row r="776" spans="3:5" x14ac:dyDescent="0.25">
      <c r="C776" s="31">
        <f t="shared" ca="1" si="37"/>
        <v>54.162209763837488</v>
      </c>
      <c r="E776">
        <v>55.204248156198851</v>
      </c>
    </row>
    <row r="777" spans="3:5" x14ac:dyDescent="0.25">
      <c r="C777" s="31">
        <f t="shared" ca="1" si="37"/>
        <v>67.767713608511272</v>
      </c>
      <c r="E777">
        <v>72.092448320557565</v>
      </c>
    </row>
    <row r="778" spans="3:5" x14ac:dyDescent="0.25">
      <c r="C778" s="31">
        <f t="shared" ca="1" si="37"/>
        <v>57.168843245618085</v>
      </c>
      <c r="E778">
        <v>46.492650453863689</v>
      </c>
    </row>
    <row r="779" spans="3:5" x14ac:dyDescent="0.25">
      <c r="C779" s="31">
        <f t="shared" ca="1" si="37"/>
        <v>70.743536494566172</v>
      </c>
      <c r="E779">
        <v>66.23182676613844</v>
      </c>
    </row>
    <row r="780" spans="3:5" x14ac:dyDescent="0.25">
      <c r="C780" s="31">
        <f t="shared" ca="1" si="37"/>
        <v>50.707963369469979</v>
      </c>
      <c r="E780">
        <v>32.358961098089097</v>
      </c>
    </row>
    <row r="781" spans="3:5" x14ac:dyDescent="0.25">
      <c r="C781" s="31">
        <f t="shared" ca="1" si="37"/>
        <v>56.136168995470953</v>
      </c>
      <c r="E781">
        <v>49.67171788452228</v>
      </c>
    </row>
    <row r="782" spans="3:5" x14ac:dyDescent="0.25">
      <c r="C782" s="31">
        <f t="shared" ca="1" si="37"/>
        <v>69.568265931947565</v>
      </c>
      <c r="E782">
        <v>43.373945701045464</v>
      </c>
    </row>
    <row r="783" spans="3:5" x14ac:dyDescent="0.25">
      <c r="C783" s="31">
        <f t="shared" ca="1" si="37"/>
        <v>71.858878915262892</v>
      </c>
      <c r="E783">
        <v>70.1354645848442</v>
      </c>
    </row>
    <row r="784" spans="3:5" x14ac:dyDescent="0.25">
      <c r="C784" s="31">
        <f t="shared" ca="1" si="37"/>
        <v>79.904017500528226</v>
      </c>
      <c r="E784">
        <v>48.784537054197173</v>
      </c>
    </row>
    <row r="785" spans="3:5" x14ac:dyDescent="0.25">
      <c r="C785" s="31">
        <f t="shared" ca="1" si="37"/>
        <v>63.534395242815506</v>
      </c>
      <c r="E785">
        <v>67.119571679166697</v>
      </c>
    </row>
    <row r="786" spans="3:5" x14ac:dyDescent="0.25">
      <c r="C786" s="31">
        <f t="shared" ca="1" si="37"/>
        <v>45.546521757006673</v>
      </c>
      <c r="E786">
        <v>60.073582215132731</v>
      </c>
    </row>
    <row r="787" spans="3:5" x14ac:dyDescent="0.25">
      <c r="C787" s="31">
        <f t="shared" ca="1" si="37"/>
        <v>48.987806944340328</v>
      </c>
      <c r="E787">
        <v>57.639734763980471</v>
      </c>
    </row>
    <row r="788" spans="3:5" x14ac:dyDescent="0.25">
      <c r="C788" s="31">
        <f t="shared" ca="1" si="37"/>
        <v>58.268997393172157</v>
      </c>
      <c r="E788">
        <v>78.620782992767616</v>
      </c>
    </row>
    <row r="789" spans="3:5" x14ac:dyDescent="0.25">
      <c r="C789" s="31">
        <f t="shared" ca="1" si="37"/>
        <v>56.789219875595862</v>
      </c>
      <c r="E789">
        <v>75.887299250573236</v>
      </c>
    </row>
    <row r="790" spans="3:5" x14ac:dyDescent="0.25">
      <c r="C790" s="31">
        <f t="shared" ca="1" si="37"/>
        <v>60.828345823806828</v>
      </c>
      <c r="E790">
        <v>63.006602863890819</v>
      </c>
    </row>
    <row r="791" spans="3:5" x14ac:dyDescent="0.25">
      <c r="C791" s="31">
        <f t="shared" ca="1" si="37"/>
        <v>50.251534554334917</v>
      </c>
      <c r="E791">
        <v>79.115002342007415</v>
      </c>
    </row>
    <row r="792" spans="3:5" x14ac:dyDescent="0.25">
      <c r="C792" s="31">
        <f t="shared" ca="1" si="37"/>
        <v>52.90359275952023</v>
      </c>
      <c r="E792">
        <v>63.717566714496847</v>
      </c>
    </row>
    <row r="793" spans="3:5" x14ac:dyDescent="0.25">
      <c r="C793" s="31">
        <f t="shared" ca="1" si="37"/>
        <v>68.288817359480106</v>
      </c>
      <c r="E793">
        <v>65.722306027512701</v>
      </c>
    </row>
    <row r="794" spans="3:5" x14ac:dyDescent="0.25">
      <c r="C794" s="31">
        <f t="shared" ca="1" si="37"/>
        <v>62.347512413495039</v>
      </c>
      <c r="E794">
        <v>42.714580036114022</v>
      </c>
    </row>
    <row r="795" spans="3:5" x14ac:dyDescent="0.25">
      <c r="C795" s="31">
        <f t="shared" ca="1" si="37"/>
        <v>75.209031733795015</v>
      </c>
      <c r="E795">
        <v>41.574689403840296</v>
      </c>
    </row>
    <row r="796" spans="3:5" x14ac:dyDescent="0.25">
      <c r="C796" s="31">
        <f t="shared" ca="1" si="37"/>
        <v>68.263788189460513</v>
      </c>
      <c r="E796">
        <v>50.287209630970828</v>
      </c>
    </row>
    <row r="797" spans="3:5" x14ac:dyDescent="0.25">
      <c r="C797" s="31">
        <f t="shared" ca="1" si="37"/>
        <v>68.371280806411733</v>
      </c>
      <c r="E797">
        <v>71.894547940325268</v>
      </c>
    </row>
    <row r="798" spans="3:5" x14ac:dyDescent="0.25">
      <c r="C798" s="31">
        <f t="shared" ca="1" si="37"/>
        <v>61.863564646454563</v>
      </c>
      <c r="E798">
        <v>54.916256081978744</v>
      </c>
    </row>
    <row r="799" spans="3:5" x14ac:dyDescent="0.25">
      <c r="C799" s="31">
        <f t="shared" ca="1" si="37"/>
        <v>62.788739770532821</v>
      </c>
      <c r="E799">
        <v>53.356106830581886</v>
      </c>
    </row>
    <row r="800" spans="3:5" x14ac:dyDescent="0.25">
      <c r="C800" s="31">
        <f t="shared" ca="1" si="37"/>
        <v>59.392918836107484</v>
      </c>
      <c r="E800">
        <v>50.309122637447835</v>
      </c>
    </row>
    <row r="801" spans="3:5" x14ac:dyDescent="0.25">
      <c r="C801" s="31">
        <f t="shared" ca="1" si="37"/>
        <v>48.877684398003325</v>
      </c>
      <c r="E801">
        <v>69.971172141363184</v>
      </c>
    </row>
    <row r="802" spans="3:5" x14ac:dyDescent="0.25">
      <c r="C802" s="31">
        <f t="shared" ca="1" si="37"/>
        <v>59.888436648202173</v>
      </c>
      <c r="E802">
        <v>52.067991701436597</v>
      </c>
    </row>
    <row r="803" spans="3:5" x14ac:dyDescent="0.25">
      <c r="C803" s="31">
        <f t="shared" ca="1" si="37"/>
        <v>47.430673553418515</v>
      </c>
      <c r="E803">
        <v>59.74906691212766</v>
      </c>
    </row>
    <row r="804" spans="3:5" x14ac:dyDescent="0.25">
      <c r="C804" s="31">
        <f t="shared" ca="1" si="37"/>
        <v>70.778614797296711</v>
      </c>
      <c r="E804">
        <v>52.36631432998746</v>
      </c>
    </row>
    <row r="805" spans="3:5" x14ac:dyDescent="0.25">
      <c r="C805" s="31">
        <f t="shared" ca="1" si="37"/>
        <v>60.079506647342576</v>
      </c>
      <c r="E805">
        <v>47.729343770761652</v>
      </c>
    </row>
    <row r="806" spans="3:5" x14ac:dyDescent="0.25">
      <c r="C806" s="31">
        <f t="shared" ca="1" si="37"/>
        <v>55.254627085319562</v>
      </c>
      <c r="E806">
        <v>75.249623632694423</v>
      </c>
    </row>
    <row r="807" spans="3:5" x14ac:dyDescent="0.25">
      <c r="C807" s="31">
        <f t="shared" ca="1" si="37"/>
        <v>51.804858717232143</v>
      </c>
      <c r="E807">
        <v>62.480808505374625</v>
      </c>
    </row>
    <row r="808" spans="3:5" x14ac:dyDescent="0.25">
      <c r="C808" s="31">
        <f t="shared" ca="1" si="37"/>
        <v>66.186553445356864</v>
      </c>
      <c r="E808">
        <v>40.881520688133136</v>
      </c>
    </row>
    <row r="809" spans="3:5" x14ac:dyDescent="0.25">
      <c r="C809" s="31">
        <f t="shared" ca="1" si="37"/>
        <v>61.340681486630075</v>
      </c>
      <c r="E809">
        <v>66.651678012303805</v>
      </c>
    </row>
    <row r="810" spans="3:5" x14ac:dyDescent="0.25">
      <c r="C810" s="31">
        <f t="shared" ca="1" si="37"/>
        <v>63.442324990213713</v>
      </c>
      <c r="E810">
        <v>53.125056934213632</v>
      </c>
    </row>
    <row r="811" spans="3:5" x14ac:dyDescent="0.25">
      <c r="C811" s="31">
        <f t="shared" ca="1" si="37"/>
        <v>49.948531585181158</v>
      </c>
      <c r="E811">
        <v>68.69754948103747</v>
      </c>
    </row>
    <row r="812" spans="3:5" x14ac:dyDescent="0.25">
      <c r="C812" s="31">
        <f t="shared" ca="1" si="37"/>
        <v>41.115192741166851</v>
      </c>
      <c r="E812">
        <v>57.648460292969425</v>
      </c>
    </row>
    <row r="813" spans="3:5" x14ac:dyDescent="0.25">
      <c r="C813" s="31">
        <f t="shared" ca="1" si="37"/>
        <v>59.170019502034364</v>
      </c>
      <c r="E813">
        <v>49.095431658096146</v>
      </c>
    </row>
    <row r="814" spans="3:5" x14ac:dyDescent="0.25">
      <c r="C814" s="31">
        <f t="shared" ca="1" si="37"/>
        <v>52.242721420173496</v>
      </c>
      <c r="E814">
        <v>76.006628128523872</v>
      </c>
    </row>
    <row r="815" spans="3:5" x14ac:dyDescent="0.25">
      <c r="C815" s="31">
        <f t="shared" ca="1" si="37"/>
        <v>56.3622142422089</v>
      </c>
      <c r="E815">
        <v>61.263562107206518</v>
      </c>
    </row>
    <row r="816" spans="3:5" x14ac:dyDescent="0.25">
      <c r="C816" s="31">
        <f t="shared" ca="1" si="37"/>
        <v>64.051051088356061</v>
      </c>
      <c r="E816">
        <v>65.382128101672564</v>
      </c>
    </row>
    <row r="817" spans="3:5" x14ac:dyDescent="0.25">
      <c r="C817" s="31">
        <f t="shared" ca="1" si="37"/>
        <v>68.397001036536494</v>
      </c>
      <c r="E817">
        <v>47.662804692702544</v>
      </c>
    </row>
    <row r="818" spans="3:5" x14ac:dyDescent="0.25">
      <c r="C818" s="31">
        <f t="shared" ca="1" si="37"/>
        <v>54.007867772544245</v>
      </c>
      <c r="E818">
        <v>57.883266208696178</v>
      </c>
    </row>
    <row r="819" spans="3:5" x14ac:dyDescent="0.25">
      <c r="C819" s="31">
        <f t="shared" ca="1" si="37"/>
        <v>44.803521572476797</v>
      </c>
      <c r="E819">
        <v>57.259334435440209</v>
      </c>
    </row>
    <row r="820" spans="3:5" x14ac:dyDescent="0.25">
      <c r="C820" s="31">
        <f t="shared" ca="1" si="37"/>
        <v>57.120069471440878</v>
      </c>
      <c r="E820">
        <v>55.361252463283613</v>
      </c>
    </row>
    <row r="821" spans="3:5" x14ac:dyDescent="0.25">
      <c r="C821" s="31">
        <f t="shared" ca="1" si="37"/>
        <v>51.336056868818055</v>
      </c>
      <c r="E821">
        <v>50.448755247394956</v>
      </c>
    </row>
    <row r="822" spans="3:5" x14ac:dyDescent="0.25">
      <c r="C822" s="31">
        <f t="shared" ca="1" si="37"/>
        <v>59.657268546291654</v>
      </c>
      <c r="E822">
        <v>68.053699216951685</v>
      </c>
    </row>
    <row r="823" spans="3:5" x14ac:dyDescent="0.25">
      <c r="C823" s="31">
        <f t="shared" ca="1" si="37"/>
        <v>50.250768041593943</v>
      </c>
      <c r="E823">
        <v>62.963958654317324</v>
      </c>
    </row>
    <row r="824" spans="3:5" x14ac:dyDescent="0.25">
      <c r="C824" s="31">
        <f t="shared" ca="1" si="37"/>
        <v>62.405230730339653</v>
      </c>
      <c r="E824">
        <v>41.502263374211196</v>
      </c>
    </row>
    <row r="825" spans="3:5" x14ac:dyDescent="0.25">
      <c r="C825" s="31">
        <f t="shared" ca="1" si="37"/>
        <v>45.988100611193403</v>
      </c>
      <c r="E825">
        <v>83.258576942741342</v>
      </c>
    </row>
    <row r="826" spans="3:5" x14ac:dyDescent="0.25">
      <c r="C826" s="31">
        <f t="shared" ca="1" si="37"/>
        <v>69.797884650405692</v>
      </c>
      <c r="E826">
        <v>65.568646192865515</v>
      </c>
    </row>
    <row r="827" spans="3:5" x14ac:dyDescent="0.25">
      <c r="C827" s="31">
        <f t="shared" ca="1" si="37"/>
        <v>79.002106537983877</v>
      </c>
      <c r="E827">
        <v>78.984933455863256</v>
      </c>
    </row>
    <row r="828" spans="3:5" x14ac:dyDescent="0.25">
      <c r="C828" s="31">
        <f t="shared" ca="1" si="37"/>
        <v>60.774068367611449</v>
      </c>
      <c r="E828">
        <v>48.110308987414427</v>
      </c>
    </row>
    <row r="829" spans="3:5" x14ac:dyDescent="0.25">
      <c r="C829" s="31">
        <f t="shared" ca="1" si="37"/>
        <v>54.729006733393511</v>
      </c>
      <c r="E829">
        <v>71.062921449221605</v>
      </c>
    </row>
    <row r="830" spans="3:5" x14ac:dyDescent="0.25">
      <c r="C830" s="31">
        <f t="shared" ref="C830:C893" ca="1" si="38">_xlfn.NORM.INV(RAND(),C$4,C$5)</f>
        <v>59.583836494863689</v>
      </c>
      <c r="E830">
        <v>47.70639151403094</v>
      </c>
    </row>
    <row r="831" spans="3:5" x14ac:dyDescent="0.25">
      <c r="C831" s="31">
        <f t="shared" ca="1" si="38"/>
        <v>68.329698827485046</v>
      </c>
      <c r="E831">
        <v>69.851501549414721</v>
      </c>
    </row>
    <row r="832" spans="3:5" x14ac:dyDescent="0.25">
      <c r="C832" s="31">
        <f t="shared" ca="1" si="38"/>
        <v>40.609090869218093</v>
      </c>
      <c r="E832">
        <v>74.413427952477818</v>
      </c>
    </row>
    <row r="833" spans="3:5" x14ac:dyDescent="0.25">
      <c r="C833" s="31">
        <f t="shared" ca="1" si="38"/>
        <v>58.798230295841655</v>
      </c>
      <c r="E833">
        <v>68.384579833384862</v>
      </c>
    </row>
    <row r="834" spans="3:5" x14ac:dyDescent="0.25">
      <c r="C834" s="31">
        <f t="shared" ca="1" si="38"/>
        <v>66.702083735558304</v>
      </c>
      <c r="E834">
        <v>42.949668284897257</v>
      </c>
    </row>
    <row r="835" spans="3:5" x14ac:dyDescent="0.25">
      <c r="C835" s="31">
        <f t="shared" ca="1" si="38"/>
        <v>52.897874385414056</v>
      </c>
      <c r="E835">
        <v>49.497880315454346</v>
      </c>
    </row>
    <row r="836" spans="3:5" x14ac:dyDescent="0.25">
      <c r="C836" s="31">
        <f t="shared" ca="1" si="38"/>
        <v>47.533979982656945</v>
      </c>
      <c r="E836">
        <v>59.068544028370212</v>
      </c>
    </row>
    <row r="837" spans="3:5" x14ac:dyDescent="0.25">
      <c r="C837" s="31">
        <f t="shared" ca="1" si="38"/>
        <v>65.496486927809741</v>
      </c>
      <c r="E837">
        <v>63.9927696701602</v>
      </c>
    </row>
    <row r="838" spans="3:5" x14ac:dyDescent="0.25">
      <c r="C838" s="31">
        <f t="shared" ca="1" si="38"/>
        <v>59.651525742634213</v>
      </c>
      <c r="E838">
        <v>61.519624067568778</v>
      </c>
    </row>
    <row r="839" spans="3:5" x14ac:dyDescent="0.25">
      <c r="C839" s="31">
        <f t="shared" ca="1" si="38"/>
        <v>55.318239639629745</v>
      </c>
      <c r="E839">
        <v>56.326262583169381</v>
      </c>
    </row>
    <row r="840" spans="3:5" x14ac:dyDescent="0.25">
      <c r="C840" s="31">
        <f t="shared" ca="1" si="38"/>
        <v>56.58338453333279</v>
      </c>
      <c r="E840">
        <v>46.311492356250128</v>
      </c>
    </row>
    <row r="841" spans="3:5" x14ac:dyDescent="0.25">
      <c r="C841" s="31">
        <f t="shared" ca="1" si="38"/>
        <v>67.021801742994882</v>
      </c>
      <c r="E841">
        <v>63.992272437221658</v>
      </c>
    </row>
    <row r="842" spans="3:5" x14ac:dyDescent="0.25">
      <c r="C842" s="31">
        <f t="shared" ca="1" si="38"/>
        <v>73.480015414521191</v>
      </c>
      <c r="E842">
        <v>63.140646538404766</v>
      </c>
    </row>
    <row r="843" spans="3:5" x14ac:dyDescent="0.25">
      <c r="C843" s="31">
        <f t="shared" ca="1" si="38"/>
        <v>54.513088640634642</v>
      </c>
      <c r="E843">
        <v>68.585557691784786</v>
      </c>
    </row>
    <row r="844" spans="3:5" x14ac:dyDescent="0.25">
      <c r="C844" s="31">
        <f t="shared" ca="1" si="38"/>
        <v>50.152925147487579</v>
      </c>
      <c r="E844">
        <v>84.988698846919547</v>
      </c>
    </row>
    <row r="845" spans="3:5" x14ac:dyDescent="0.25">
      <c r="C845" s="31">
        <f t="shared" ca="1" si="38"/>
        <v>68.363236272907784</v>
      </c>
      <c r="E845">
        <v>58.314291261730339</v>
      </c>
    </row>
    <row r="846" spans="3:5" x14ac:dyDescent="0.25">
      <c r="C846" s="31">
        <f t="shared" ca="1" si="38"/>
        <v>67.597312230294222</v>
      </c>
      <c r="E846">
        <v>50.78585107986639</v>
      </c>
    </row>
    <row r="847" spans="3:5" x14ac:dyDescent="0.25">
      <c r="C847" s="31">
        <f t="shared" ca="1" si="38"/>
        <v>52.249382836563719</v>
      </c>
      <c r="E847">
        <v>68.120795258332947</v>
      </c>
    </row>
    <row r="848" spans="3:5" x14ac:dyDescent="0.25">
      <c r="C848" s="31">
        <f t="shared" ca="1" si="38"/>
        <v>54.164460138451147</v>
      </c>
      <c r="E848">
        <v>75.655367134518798</v>
      </c>
    </row>
    <row r="849" spans="3:5" x14ac:dyDescent="0.25">
      <c r="C849" s="31">
        <f t="shared" ca="1" si="38"/>
        <v>61.518703042765516</v>
      </c>
      <c r="E849">
        <v>71.010538630355398</v>
      </c>
    </row>
    <row r="850" spans="3:5" x14ac:dyDescent="0.25">
      <c r="C850" s="31">
        <f t="shared" ca="1" si="38"/>
        <v>65.512158746413959</v>
      </c>
      <c r="E850">
        <v>66.999014948492203</v>
      </c>
    </row>
    <row r="851" spans="3:5" x14ac:dyDescent="0.25">
      <c r="C851" s="31">
        <f t="shared" ca="1" si="38"/>
        <v>45.902974005694873</v>
      </c>
      <c r="E851">
        <v>84.407114189939094</v>
      </c>
    </row>
    <row r="852" spans="3:5" x14ac:dyDescent="0.25">
      <c r="C852" s="31">
        <f t="shared" ca="1" si="38"/>
        <v>65.646984220168804</v>
      </c>
      <c r="E852">
        <v>77.02353364112281</v>
      </c>
    </row>
    <row r="853" spans="3:5" x14ac:dyDescent="0.25">
      <c r="C853" s="31">
        <f t="shared" ca="1" si="38"/>
        <v>60.350785509108107</v>
      </c>
      <c r="E853">
        <v>59.600120277363423</v>
      </c>
    </row>
    <row r="854" spans="3:5" x14ac:dyDescent="0.25">
      <c r="C854" s="31">
        <f t="shared" ca="1" si="38"/>
        <v>65.924666432376114</v>
      </c>
      <c r="E854">
        <v>51.230104552276501</v>
      </c>
    </row>
    <row r="855" spans="3:5" x14ac:dyDescent="0.25">
      <c r="C855" s="31">
        <f t="shared" ca="1" si="38"/>
        <v>50.300090646731419</v>
      </c>
      <c r="E855">
        <v>51.986656912914952</v>
      </c>
    </row>
    <row r="856" spans="3:5" x14ac:dyDescent="0.25">
      <c r="C856" s="31">
        <f t="shared" ca="1" si="38"/>
        <v>70.675464493681886</v>
      </c>
      <c r="E856">
        <v>53.532608479434465</v>
      </c>
    </row>
    <row r="857" spans="3:5" x14ac:dyDescent="0.25">
      <c r="C857" s="31">
        <f t="shared" ca="1" si="38"/>
        <v>60.30252573927735</v>
      </c>
      <c r="E857">
        <v>49.926819952867113</v>
      </c>
    </row>
    <row r="858" spans="3:5" x14ac:dyDescent="0.25">
      <c r="C858" s="31">
        <f t="shared" ca="1" si="38"/>
        <v>65.800267636034746</v>
      </c>
      <c r="E858">
        <v>62.605633198019888</v>
      </c>
    </row>
    <row r="859" spans="3:5" x14ac:dyDescent="0.25">
      <c r="C859" s="31">
        <f t="shared" ca="1" si="38"/>
        <v>61.601862294119066</v>
      </c>
      <c r="E859">
        <v>54.599933426505423</v>
      </c>
    </row>
    <row r="860" spans="3:5" x14ac:dyDescent="0.25">
      <c r="C860" s="31">
        <f t="shared" ca="1" si="38"/>
        <v>52.773906824159312</v>
      </c>
      <c r="E860">
        <v>61.445289980216657</v>
      </c>
    </row>
    <row r="861" spans="3:5" x14ac:dyDescent="0.25">
      <c r="C861" s="31">
        <f t="shared" ca="1" si="38"/>
        <v>77.178333422404947</v>
      </c>
      <c r="E861">
        <v>61.05440379864929</v>
      </c>
    </row>
    <row r="862" spans="3:5" x14ac:dyDescent="0.25">
      <c r="C862" s="31">
        <f t="shared" ca="1" si="38"/>
        <v>53.902775802298308</v>
      </c>
      <c r="E862">
        <v>59.899596365184777</v>
      </c>
    </row>
    <row r="863" spans="3:5" x14ac:dyDescent="0.25">
      <c r="C863" s="31">
        <f t="shared" ca="1" si="38"/>
        <v>43.397694077070831</v>
      </c>
      <c r="E863">
        <v>81.785997296341151</v>
      </c>
    </row>
    <row r="864" spans="3:5" x14ac:dyDescent="0.25">
      <c r="C864" s="31">
        <f t="shared" ca="1" si="38"/>
        <v>49.373886483321314</v>
      </c>
      <c r="E864">
        <v>62.067225111377013</v>
      </c>
    </row>
    <row r="865" spans="3:5" x14ac:dyDescent="0.25">
      <c r="C865" s="31">
        <f t="shared" ca="1" si="38"/>
        <v>60.611300795036819</v>
      </c>
      <c r="E865">
        <v>70.729334197624382</v>
      </c>
    </row>
    <row r="866" spans="3:5" x14ac:dyDescent="0.25">
      <c r="C866" s="31">
        <f t="shared" ca="1" si="38"/>
        <v>61.76418829939638</v>
      </c>
      <c r="E866">
        <v>52.110248854049097</v>
      </c>
    </row>
    <row r="867" spans="3:5" x14ac:dyDescent="0.25">
      <c r="C867" s="31">
        <f t="shared" ca="1" si="38"/>
        <v>53.23548604638853</v>
      </c>
      <c r="E867">
        <v>69.156562765980411</v>
      </c>
    </row>
    <row r="868" spans="3:5" x14ac:dyDescent="0.25">
      <c r="C868" s="31">
        <f t="shared" ca="1" si="38"/>
        <v>63.252905434127307</v>
      </c>
      <c r="E868">
        <v>84.286641753608137</v>
      </c>
    </row>
    <row r="869" spans="3:5" x14ac:dyDescent="0.25">
      <c r="C869" s="31">
        <f t="shared" ca="1" si="38"/>
        <v>56.500396655949693</v>
      </c>
      <c r="E869">
        <v>70.671671744559902</v>
      </c>
    </row>
    <row r="870" spans="3:5" x14ac:dyDescent="0.25">
      <c r="C870" s="31">
        <f t="shared" ca="1" si="38"/>
        <v>49.389052387169805</v>
      </c>
      <c r="E870">
        <v>39.495232573271764</v>
      </c>
    </row>
    <row r="871" spans="3:5" x14ac:dyDescent="0.25">
      <c r="C871" s="31">
        <f t="shared" ca="1" si="38"/>
        <v>47.016804461628737</v>
      </c>
      <c r="E871">
        <v>72.025286586822489</v>
      </c>
    </row>
    <row r="872" spans="3:5" x14ac:dyDescent="0.25">
      <c r="C872" s="31">
        <f t="shared" ca="1" si="38"/>
        <v>62.521307261952622</v>
      </c>
      <c r="E872">
        <v>54.751339182487015</v>
      </c>
    </row>
    <row r="873" spans="3:5" x14ac:dyDescent="0.25">
      <c r="C873" s="31">
        <f t="shared" ca="1" si="38"/>
        <v>74.682506304262702</v>
      </c>
      <c r="E873">
        <v>61.518565262406064</v>
      </c>
    </row>
    <row r="874" spans="3:5" x14ac:dyDescent="0.25">
      <c r="C874" s="31">
        <f t="shared" ca="1" si="38"/>
        <v>63.011850704995467</v>
      </c>
      <c r="E874">
        <v>48.893914832709591</v>
      </c>
    </row>
    <row r="875" spans="3:5" x14ac:dyDescent="0.25">
      <c r="C875" s="31">
        <f t="shared" ca="1" si="38"/>
        <v>79.956698705514285</v>
      </c>
      <c r="E875">
        <v>49.855577021816252</v>
      </c>
    </row>
    <row r="876" spans="3:5" x14ac:dyDescent="0.25">
      <c r="C876" s="31">
        <f t="shared" ca="1" si="38"/>
        <v>65.499782288028385</v>
      </c>
      <c r="E876">
        <v>52.509193117224576</v>
      </c>
    </row>
    <row r="877" spans="3:5" x14ac:dyDescent="0.25">
      <c r="C877" s="31">
        <f t="shared" ca="1" si="38"/>
        <v>69.988417136259415</v>
      </c>
      <c r="E877">
        <v>63.963276337504922</v>
      </c>
    </row>
    <row r="878" spans="3:5" x14ac:dyDescent="0.25">
      <c r="C878" s="31">
        <f t="shared" ca="1" si="38"/>
        <v>59.70872895250492</v>
      </c>
      <c r="E878">
        <v>58.601267197046901</v>
      </c>
    </row>
    <row r="879" spans="3:5" x14ac:dyDescent="0.25">
      <c r="C879" s="31">
        <f t="shared" ca="1" si="38"/>
        <v>45.893950124577366</v>
      </c>
      <c r="E879">
        <v>50.653404949104321</v>
      </c>
    </row>
    <row r="880" spans="3:5" x14ac:dyDescent="0.25">
      <c r="C880" s="31">
        <f t="shared" ca="1" si="38"/>
        <v>54.851641488978913</v>
      </c>
      <c r="E880">
        <v>67.773886507930527</v>
      </c>
    </row>
    <row r="881" spans="3:5" x14ac:dyDescent="0.25">
      <c r="C881" s="31">
        <f t="shared" ca="1" si="38"/>
        <v>55.7878948229882</v>
      </c>
      <c r="E881">
        <v>54.853970083683905</v>
      </c>
    </row>
    <row r="882" spans="3:5" x14ac:dyDescent="0.25">
      <c r="C882" s="31">
        <f t="shared" ca="1" si="38"/>
        <v>71.260685782949949</v>
      </c>
      <c r="E882">
        <v>61.509616723737444</v>
      </c>
    </row>
    <row r="883" spans="3:5" x14ac:dyDescent="0.25">
      <c r="C883" s="31">
        <f t="shared" ca="1" si="38"/>
        <v>75.787090914251195</v>
      </c>
      <c r="E883">
        <v>64.268388145383454</v>
      </c>
    </row>
    <row r="884" spans="3:5" x14ac:dyDescent="0.25">
      <c r="C884" s="31">
        <f t="shared" ca="1" si="38"/>
        <v>60.799775897036156</v>
      </c>
      <c r="E884">
        <v>85.247915856585692</v>
      </c>
    </row>
    <row r="885" spans="3:5" x14ac:dyDescent="0.25">
      <c r="C885" s="31">
        <f t="shared" ca="1" si="38"/>
        <v>47.511295136375864</v>
      </c>
      <c r="E885">
        <v>39.961431060910655</v>
      </c>
    </row>
    <row r="886" spans="3:5" x14ac:dyDescent="0.25">
      <c r="C886" s="31">
        <f t="shared" ca="1" si="38"/>
        <v>67.822360564613263</v>
      </c>
      <c r="E886">
        <v>63.889811262370131</v>
      </c>
    </row>
    <row r="887" spans="3:5" x14ac:dyDescent="0.25">
      <c r="C887" s="31">
        <f t="shared" ca="1" si="38"/>
        <v>55.286869573591943</v>
      </c>
      <c r="E887">
        <v>66.906635445713533</v>
      </c>
    </row>
    <row r="888" spans="3:5" x14ac:dyDescent="0.25">
      <c r="C888" s="31">
        <f t="shared" ca="1" si="38"/>
        <v>48.451658915822179</v>
      </c>
      <c r="E888">
        <v>70.107269382518723</v>
      </c>
    </row>
    <row r="889" spans="3:5" x14ac:dyDescent="0.25">
      <c r="C889" s="31">
        <f t="shared" ca="1" si="38"/>
        <v>54.976602369171346</v>
      </c>
      <c r="E889">
        <v>68.749832690003785</v>
      </c>
    </row>
    <row r="890" spans="3:5" x14ac:dyDescent="0.25">
      <c r="C890" s="31">
        <f t="shared" ca="1" si="38"/>
        <v>51.943025473863067</v>
      </c>
      <c r="E890">
        <v>71.721852343737041</v>
      </c>
    </row>
    <row r="891" spans="3:5" x14ac:dyDescent="0.25">
      <c r="C891" s="31">
        <f t="shared" ca="1" si="38"/>
        <v>50.112945943431839</v>
      </c>
      <c r="E891">
        <v>82.2876895490473</v>
      </c>
    </row>
    <row r="892" spans="3:5" x14ac:dyDescent="0.25">
      <c r="C892" s="31">
        <f t="shared" ca="1" si="38"/>
        <v>60.266245938070661</v>
      </c>
      <c r="E892">
        <v>48.020188158261853</v>
      </c>
    </row>
    <row r="893" spans="3:5" x14ac:dyDescent="0.25">
      <c r="C893" s="31">
        <f t="shared" ca="1" si="38"/>
        <v>71.545800391833694</v>
      </c>
      <c r="E893">
        <v>74.60172926541432</v>
      </c>
    </row>
    <row r="894" spans="3:5" x14ac:dyDescent="0.25">
      <c r="C894" s="31">
        <f t="shared" ref="C894:C957" ca="1" si="39">_xlfn.NORM.INV(RAND(),C$4,C$5)</f>
        <v>70.924950598321132</v>
      </c>
      <c r="E894">
        <v>77.772396060325605</v>
      </c>
    </row>
    <row r="895" spans="3:5" x14ac:dyDescent="0.25">
      <c r="C895" s="31">
        <f t="shared" ca="1" si="39"/>
        <v>69.756751538689258</v>
      </c>
      <c r="E895">
        <v>72.180319123066511</v>
      </c>
    </row>
    <row r="896" spans="3:5" x14ac:dyDescent="0.25">
      <c r="C896" s="31">
        <f t="shared" ca="1" si="39"/>
        <v>52.105700894222664</v>
      </c>
      <c r="E896">
        <v>65.864154321546934</v>
      </c>
    </row>
    <row r="897" spans="3:5" x14ac:dyDescent="0.25">
      <c r="C897" s="31">
        <f t="shared" ca="1" si="39"/>
        <v>48.756597108866124</v>
      </c>
      <c r="E897">
        <v>93.348163878566197</v>
      </c>
    </row>
    <row r="898" spans="3:5" x14ac:dyDescent="0.25">
      <c r="C898" s="31">
        <f t="shared" ca="1" si="39"/>
        <v>50.454389219962287</v>
      </c>
      <c r="E898">
        <v>50.230262931670381</v>
      </c>
    </row>
    <row r="899" spans="3:5" x14ac:dyDescent="0.25">
      <c r="C899" s="31">
        <f t="shared" ca="1" si="39"/>
        <v>58.388042554248216</v>
      </c>
      <c r="E899">
        <v>34.331987183053236</v>
      </c>
    </row>
    <row r="900" spans="3:5" x14ac:dyDescent="0.25">
      <c r="C900" s="31">
        <f t="shared" ca="1" si="39"/>
        <v>69.909181321571864</v>
      </c>
      <c r="E900">
        <v>62.352995195677551</v>
      </c>
    </row>
    <row r="901" spans="3:5" x14ac:dyDescent="0.25">
      <c r="C901" s="31">
        <f t="shared" ca="1" si="39"/>
        <v>58.760025555195917</v>
      </c>
      <c r="E901">
        <v>64.495721330515153</v>
      </c>
    </row>
    <row r="902" spans="3:5" x14ac:dyDescent="0.25">
      <c r="C902" s="31">
        <f t="shared" ca="1" si="39"/>
        <v>60.339383182825159</v>
      </c>
      <c r="E902">
        <v>52.55938226420912</v>
      </c>
    </row>
    <row r="903" spans="3:5" x14ac:dyDescent="0.25">
      <c r="C903" s="31">
        <f t="shared" ca="1" si="39"/>
        <v>55.20169623166349</v>
      </c>
      <c r="E903">
        <v>79.877118214969343</v>
      </c>
    </row>
    <row r="904" spans="3:5" x14ac:dyDescent="0.25">
      <c r="C904" s="31">
        <f t="shared" ca="1" si="39"/>
        <v>68.688009433625396</v>
      </c>
      <c r="E904">
        <v>52.83737120775065</v>
      </c>
    </row>
    <row r="905" spans="3:5" x14ac:dyDescent="0.25">
      <c r="C905" s="31">
        <f t="shared" ca="1" si="39"/>
        <v>50.113439582192655</v>
      </c>
      <c r="E905">
        <v>63.280971341269897</v>
      </c>
    </row>
    <row r="906" spans="3:5" x14ac:dyDescent="0.25">
      <c r="C906" s="31">
        <f t="shared" ca="1" si="39"/>
        <v>48.138605527244003</v>
      </c>
      <c r="E906">
        <v>73.644706881039525</v>
      </c>
    </row>
    <row r="907" spans="3:5" x14ac:dyDescent="0.25">
      <c r="C907" s="31">
        <f t="shared" ca="1" si="39"/>
        <v>54.78440227279966</v>
      </c>
      <c r="E907">
        <v>61.945566152228835</v>
      </c>
    </row>
    <row r="908" spans="3:5" x14ac:dyDescent="0.25">
      <c r="C908" s="31">
        <f t="shared" ca="1" si="39"/>
        <v>60.974952336303616</v>
      </c>
      <c r="E908">
        <v>39.382137439905108</v>
      </c>
    </row>
    <row r="909" spans="3:5" x14ac:dyDescent="0.25">
      <c r="C909" s="31">
        <f t="shared" ca="1" si="39"/>
        <v>30.160572588200925</v>
      </c>
      <c r="E909">
        <v>56.998989430922911</v>
      </c>
    </row>
    <row r="910" spans="3:5" x14ac:dyDescent="0.25">
      <c r="C910" s="31">
        <f t="shared" ca="1" si="39"/>
        <v>63.354971789198572</v>
      </c>
      <c r="E910">
        <v>56.717640728061951</v>
      </c>
    </row>
    <row r="911" spans="3:5" x14ac:dyDescent="0.25">
      <c r="C911" s="31">
        <f t="shared" ca="1" si="39"/>
        <v>47.294002182840025</v>
      </c>
      <c r="E911">
        <v>52.98708359505428</v>
      </c>
    </row>
    <row r="912" spans="3:5" x14ac:dyDescent="0.25">
      <c r="C912" s="31">
        <f t="shared" ca="1" si="39"/>
        <v>57.009869632940386</v>
      </c>
      <c r="E912">
        <v>50.391504133018955</v>
      </c>
    </row>
    <row r="913" spans="3:5" x14ac:dyDescent="0.25">
      <c r="C913" s="31">
        <f t="shared" ca="1" si="39"/>
        <v>57.928012914243482</v>
      </c>
      <c r="E913">
        <v>60.689589396284276</v>
      </c>
    </row>
    <row r="914" spans="3:5" x14ac:dyDescent="0.25">
      <c r="C914" s="31">
        <f t="shared" ca="1" si="39"/>
        <v>54.888106080420556</v>
      </c>
      <c r="E914">
        <v>61.883994949280869</v>
      </c>
    </row>
    <row r="915" spans="3:5" x14ac:dyDescent="0.25">
      <c r="C915" s="31">
        <f t="shared" ca="1" si="39"/>
        <v>76.513029940409524</v>
      </c>
      <c r="E915">
        <v>58.378237279496247</v>
      </c>
    </row>
    <row r="916" spans="3:5" x14ac:dyDescent="0.25">
      <c r="C916" s="31">
        <f t="shared" ca="1" si="39"/>
        <v>76.853176508710646</v>
      </c>
      <c r="E916">
        <v>49.319118881281518</v>
      </c>
    </row>
    <row r="917" spans="3:5" x14ac:dyDescent="0.25">
      <c r="C917" s="31">
        <f t="shared" ca="1" si="39"/>
        <v>51.857956626844008</v>
      </c>
      <c r="E917">
        <v>81.089551752594659</v>
      </c>
    </row>
    <row r="918" spans="3:5" x14ac:dyDescent="0.25">
      <c r="C918" s="31">
        <f t="shared" ca="1" si="39"/>
        <v>52.582686477867661</v>
      </c>
      <c r="E918">
        <v>79.239261984632705</v>
      </c>
    </row>
    <row r="919" spans="3:5" x14ac:dyDescent="0.25">
      <c r="C919" s="31">
        <f t="shared" ca="1" si="39"/>
        <v>62.505520003689803</v>
      </c>
      <c r="E919">
        <v>62.490161977878479</v>
      </c>
    </row>
    <row r="920" spans="3:5" x14ac:dyDescent="0.25">
      <c r="C920" s="31">
        <f t="shared" ca="1" si="39"/>
        <v>60.309387877628673</v>
      </c>
      <c r="E920">
        <v>78.575092258565888</v>
      </c>
    </row>
    <row r="921" spans="3:5" x14ac:dyDescent="0.25">
      <c r="C921" s="31">
        <f t="shared" ca="1" si="39"/>
        <v>57.893925290107902</v>
      </c>
      <c r="E921">
        <v>65.314760829188558</v>
      </c>
    </row>
    <row r="922" spans="3:5" x14ac:dyDescent="0.25">
      <c r="C922" s="31">
        <f t="shared" ca="1" si="39"/>
        <v>51.317059621157277</v>
      </c>
      <c r="E922">
        <v>64.060645944929973</v>
      </c>
    </row>
    <row r="923" spans="3:5" x14ac:dyDescent="0.25">
      <c r="C923" s="31">
        <f t="shared" ca="1" si="39"/>
        <v>54.058963243728925</v>
      </c>
      <c r="E923">
        <v>63.137439652983204</v>
      </c>
    </row>
    <row r="924" spans="3:5" x14ac:dyDescent="0.25">
      <c r="C924" s="31">
        <f t="shared" ca="1" si="39"/>
        <v>69.800622494994812</v>
      </c>
      <c r="E924">
        <v>62.626187631896201</v>
      </c>
    </row>
    <row r="925" spans="3:5" x14ac:dyDescent="0.25">
      <c r="C925" s="31">
        <f t="shared" ca="1" si="39"/>
        <v>65.662932092731381</v>
      </c>
      <c r="E925">
        <v>46.19119264854465</v>
      </c>
    </row>
    <row r="926" spans="3:5" x14ac:dyDescent="0.25">
      <c r="C926" s="31">
        <f t="shared" ca="1" si="39"/>
        <v>56.936805559657806</v>
      </c>
      <c r="E926">
        <v>45.617501889338776</v>
      </c>
    </row>
    <row r="927" spans="3:5" x14ac:dyDescent="0.25">
      <c r="C927" s="31">
        <f t="shared" ca="1" si="39"/>
        <v>58.507177317610122</v>
      </c>
      <c r="E927">
        <v>56.309382194682563</v>
      </c>
    </row>
    <row r="928" spans="3:5" x14ac:dyDescent="0.25">
      <c r="C928" s="31">
        <f t="shared" ca="1" si="39"/>
        <v>58.63335469837525</v>
      </c>
      <c r="E928">
        <v>48.762942830301704</v>
      </c>
    </row>
    <row r="929" spans="3:5" x14ac:dyDescent="0.25">
      <c r="C929" s="31">
        <f t="shared" ca="1" si="39"/>
        <v>66.217763584922466</v>
      </c>
      <c r="E929">
        <v>70.891473383019303</v>
      </c>
    </row>
    <row r="930" spans="3:5" x14ac:dyDescent="0.25">
      <c r="C930" s="31">
        <f t="shared" ca="1" si="39"/>
        <v>62.184769687724945</v>
      </c>
      <c r="E930">
        <v>67.411726555428473</v>
      </c>
    </row>
    <row r="931" spans="3:5" x14ac:dyDescent="0.25">
      <c r="C931" s="31">
        <f t="shared" ca="1" si="39"/>
        <v>49.085872399420779</v>
      </c>
      <c r="E931">
        <v>69.916114031601225</v>
      </c>
    </row>
    <row r="932" spans="3:5" x14ac:dyDescent="0.25">
      <c r="C932" s="31">
        <f t="shared" ca="1" si="39"/>
        <v>45.758378949693615</v>
      </c>
      <c r="E932">
        <v>62.252573932523639</v>
      </c>
    </row>
    <row r="933" spans="3:5" x14ac:dyDescent="0.25">
      <c r="C933" s="31">
        <f t="shared" ca="1" si="39"/>
        <v>73.456511005364135</v>
      </c>
      <c r="E933">
        <v>70.227450735669507</v>
      </c>
    </row>
    <row r="934" spans="3:5" x14ac:dyDescent="0.25">
      <c r="C934" s="31">
        <f t="shared" ca="1" si="39"/>
        <v>51.649854627078255</v>
      </c>
      <c r="E934">
        <v>53.617210291054043</v>
      </c>
    </row>
    <row r="935" spans="3:5" x14ac:dyDescent="0.25">
      <c r="C935" s="31">
        <f t="shared" ca="1" si="39"/>
        <v>80.474728975752782</v>
      </c>
      <c r="E935">
        <v>64.820800017485737</v>
      </c>
    </row>
    <row r="936" spans="3:5" x14ac:dyDescent="0.25">
      <c r="C936" s="31">
        <f t="shared" ca="1" si="39"/>
        <v>56.054565759915846</v>
      </c>
      <c r="E936">
        <v>61.823451686454959</v>
      </c>
    </row>
    <row r="937" spans="3:5" x14ac:dyDescent="0.25">
      <c r="C937" s="31">
        <f t="shared" ca="1" si="39"/>
        <v>55.269508761777075</v>
      </c>
      <c r="E937">
        <v>58.831190955457522</v>
      </c>
    </row>
    <row r="938" spans="3:5" x14ac:dyDescent="0.25">
      <c r="C938" s="31">
        <f t="shared" ca="1" si="39"/>
        <v>53.697951021175058</v>
      </c>
      <c r="E938">
        <v>57.875062114331122</v>
      </c>
    </row>
    <row r="939" spans="3:5" x14ac:dyDescent="0.25">
      <c r="C939" s="31">
        <f t="shared" ca="1" si="39"/>
        <v>57.322550794855765</v>
      </c>
      <c r="E939">
        <v>63.40274506802438</v>
      </c>
    </row>
    <row r="940" spans="3:5" x14ac:dyDescent="0.25">
      <c r="C940" s="31">
        <f t="shared" ca="1" si="39"/>
        <v>59.050043377404975</v>
      </c>
      <c r="E940">
        <v>69.397034648564286</v>
      </c>
    </row>
    <row r="941" spans="3:5" x14ac:dyDescent="0.25">
      <c r="C941" s="31">
        <f t="shared" ca="1" si="39"/>
        <v>61.188701272356639</v>
      </c>
      <c r="E941">
        <v>59.738084445975211</v>
      </c>
    </row>
    <row r="942" spans="3:5" x14ac:dyDescent="0.25">
      <c r="C942" s="31">
        <f t="shared" ca="1" si="39"/>
        <v>67.380379585915676</v>
      </c>
      <c r="E942">
        <v>70.458753964590102</v>
      </c>
    </row>
    <row r="943" spans="3:5" x14ac:dyDescent="0.25">
      <c r="C943" s="31">
        <f t="shared" ca="1" si="39"/>
        <v>49.547249550179302</v>
      </c>
      <c r="E943">
        <v>69.619543878462949</v>
      </c>
    </row>
    <row r="944" spans="3:5" x14ac:dyDescent="0.25">
      <c r="C944" s="31">
        <f t="shared" ca="1" si="39"/>
        <v>71.868015499231291</v>
      </c>
      <c r="E944">
        <v>56.071596051337607</v>
      </c>
    </row>
    <row r="945" spans="3:5" x14ac:dyDescent="0.25">
      <c r="C945" s="31">
        <f t="shared" ca="1" si="39"/>
        <v>53.062957740957557</v>
      </c>
      <c r="E945">
        <v>58.828268656161775</v>
      </c>
    </row>
    <row r="946" spans="3:5" x14ac:dyDescent="0.25">
      <c r="C946" s="31">
        <f t="shared" ca="1" si="39"/>
        <v>56.890946439233353</v>
      </c>
      <c r="E946">
        <v>46.849070643282886</v>
      </c>
    </row>
    <row r="947" spans="3:5" x14ac:dyDescent="0.25">
      <c r="C947" s="31">
        <f t="shared" ca="1" si="39"/>
        <v>64.81135163106093</v>
      </c>
      <c r="E947">
        <v>68.157685965890863</v>
      </c>
    </row>
    <row r="948" spans="3:5" x14ac:dyDescent="0.25">
      <c r="C948" s="31">
        <f t="shared" ca="1" si="39"/>
        <v>59.726021117722944</v>
      </c>
      <c r="E948">
        <v>57.596408017255541</v>
      </c>
    </row>
    <row r="949" spans="3:5" x14ac:dyDescent="0.25">
      <c r="C949" s="31">
        <f t="shared" ca="1" si="39"/>
        <v>62.755403817191514</v>
      </c>
      <c r="E949">
        <v>37.461029774261391</v>
      </c>
    </row>
    <row r="950" spans="3:5" x14ac:dyDescent="0.25">
      <c r="C950" s="31">
        <f t="shared" ca="1" si="39"/>
        <v>77.900235567484984</v>
      </c>
      <c r="E950">
        <v>48.854569526075167</v>
      </c>
    </row>
    <row r="951" spans="3:5" x14ac:dyDescent="0.25">
      <c r="C951" s="31">
        <f t="shared" ca="1" si="39"/>
        <v>59.052514969551886</v>
      </c>
      <c r="E951">
        <v>59.627753574009297</v>
      </c>
    </row>
    <row r="952" spans="3:5" x14ac:dyDescent="0.25">
      <c r="C952" s="31">
        <f t="shared" ca="1" si="39"/>
        <v>68.067788317030335</v>
      </c>
      <c r="E952">
        <v>67.940097675618716</v>
      </c>
    </row>
    <row r="953" spans="3:5" x14ac:dyDescent="0.25">
      <c r="C953" s="31">
        <f t="shared" ca="1" si="39"/>
        <v>72.320224665709304</v>
      </c>
      <c r="E953">
        <v>61.339985936152203</v>
      </c>
    </row>
    <row r="954" spans="3:5" x14ac:dyDescent="0.25">
      <c r="C954" s="31">
        <f t="shared" ca="1" si="39"/>
        <v>62.380173283597252</v>
      </c>
      <c r="E954">
        <v>63.345598876745633</v>
      </c>
    </row>
    <row r="955" spans="3:5" x14ac:dyDescent="0.25">
      <c r="C955" s="31">
        <f t="shared" ca="1" si="39"/>
        <v>48.993337892495099</v>
      </c>
      <c r="E955">
        <v>61.048619661287034</v>
      </c>
    </row>
    <row r="956" spans="3:5" x14ac:dyDescent="0.25">
      <c r="C956" s="31">
        <f t="shared" ca="1" si="39"/>
        <v>60.502507360519353</v>
      </c>
      <c r="E956">
        <v>60.13467183175932</v>
      </c>
    </row>
    <row r="957" spans="3:5" x14ac:dyDescent="0.25">
      <c r="C957" s="31">
        <f t="shared" ca="1" si="39"/>
        <v>52.51980929532813</v>
      </c>
      <c r="E957">
        <v>80.81565438988433</v>
      </c>
    </row>
    <row r="958" spans="3:5" x14ac:dyDescent="0.25">
      <c r="C958" s="31">
        <f t="shared" ref="C958:C1021" ca="1" si="40">_xlfn.NORM.INV(RAND(),C$4,C$5)</f>
        <v>55.363562969992408</v>
      </c>
      <c r="E958">
        <v>78.987368840821915</v>
      </c>
    </row>
    <row r="959" spans="3:5" x14ac:dyDescent="0.25">
      <c r="C959" s="31">
        <f t="shared" ca="1" si="40"/>
        <v>58.781882947514852</v>
      </c>
      <c r="E959">
        <v>62.299121729582716</v>
      </c>
    </row>
    <row r="960" spans="3:5" x14ac:dyDescent="0.25">
      <c r="C960" s="31">
        <f t="shared" ca="1" si="40"/>
        <v>41.660846426327744</v>
      </c>
      <c r="E960">
        <v>69.738707776884837</v>
      </c>
    </row>
    <row r="961" spans="3:5" x14ac:dyDescent="0.25">
      <c r="C961" s="31">
        <f t="shared" ca="1" si="40"/>
        <v>51.477092537469062</v>
      </c>
      <c r="E961">
        <v>65.646928404475986</v>
      </c>
    </row>
    <row r="962" spans="3:5" x14ac:dyDescent="0.25">
      <c r="C962" s="31">
        <f t="shared" ca="1" si="40"/>
        <v>67.892437698594961</v>
      </c>
      <c r="E962">
        <v>89.718156519133885</v>
      </c>
    </row>
    <row r="963" spans="3:5" x14ac:dyDescent="0.25">
      <c r="C963" s="31">
        <f t="shared" ca="1" si="40"/>
        <v>67.473593537295713</v>
      </c>
      <c r="E963">
        <v>68.789527582264398</v>
      </c>
    </row>
    <row r="964" spans="3:5" x14ac:dyDescent="0.25">
      <c r="C964" s="31">
        <f t="shared" ca="1" si="40"/>
        <v>70.561770186754956</v>
      </c>
      <c r="E964">
        <v>62.343795330458462</v>
      </c>
    </row>
    <row r="965" spans="3:5" x14ac:dyDescent="0.25">
      <c r="C965" s="31">
        <f t="shared" ca="1" si="40"/>
        <v>50.875222428769618</v>
      </c>
      <c r="E965">
        <v>63.630398583464036</v>
      </c>
    </row>
    <row r="966" spans="3:5" x14ac:dyDescent="0.25">
      <c r="C966" s="31">
        <f t="shared" ca="1" si="40"/>
        <v>75.686906671801282</v>
      </c>
      <c r="E966">
        <v>56.976935124739072</v>
      </c>
    </row>
    <row r="967" spans="3:5" x14ac:dyDescent="0.25">
      <c r="C967" s="31">
        <f t="shared" ca="1" si="40"/>
        <v>53.946120730404914</v>
      </c>
      <c r="E967">
        <v>62.583545744624303</v>
      </c>
    </row>
    <row r="968" spans="3:5" x14ac:dyDescent="0.25">
      <c r="C968" s="31">
        <f t="shared" ca="1" si="40"/>
        <v>59.460493536479589</v>
      </c>
      <c r="E968">
        <v>37.435296390053026</v>
      </c>
    </row>
    <row r="969" spans="3:5" x14ac:dyDescent="0.25">
      <c r="C969" s="31">
        <f t="shared" ca="1" si="40"/>
        <v>55.239512232091045</v>
      </c>
      <c r="E969">
        <v>52.622137364267672</v>
      </c>
    </row>
    <row r="970" spans="3:5" x14ac:dyDescent="0.25">
      <c r="C970" s="31">
        <f t="shared" ca="1" si="40"/>
        <v>59.465199726183656</v>
      </c>
      <c r="E970">
        <v>65.596972448043857</v>
      </c>
    </row>
    <row r="971" spans="3:5" x14ac:dyDescent="0.25">
      <c r="C971" s="31">
        <f t="shared" ca="1" si="40"/>
        <v>45.310823878382628</v>
      </c>
      <c r="E971">
        <v>44.74501397504973</v>
      </c>
    </row>
    <row r="972" spans="3:5" x14ac:dyDescent="0.25">
      <c r="C972" s="31">
        <f t="shared" ca="1" si="40"/>
        <v>58.986420182810264</v>
      </c>
      <c r="E972">
        <v>73.532157248037464</v>
      </c>
    </row>
    <row r="973" spans="3:5" x14ac:dyDescent="0.25">
      <c r="C973" s="31">
        <f t="shared" ca="1" si="40"/>
        <v>49.411169272423322</v>
      </c>
      <c r="E973">
        <v>50.026608287365235</v>
      </c>
    </row>
    <row r="974" spans="3:5" x14ac:dyDescent="0.25">
      <c r="C974" s="31">
        <f t="shared" ca="1" si="40"/>
        <v>64.044320388268474</v>
      </c>
      <c r="E974">
        <v>57.922470778037763</v>
      </c>
    </row>
    <row r="975" spans="3:5" x14ac:dyDescent="0.25">
      <c r="C975" s="31">
        <f t="shared" ca="1" si="40"/>
        <v>58.04877796979811</v>
      </c>
      <c r="E975">
        <v>55.719379433304397</v>
      </c>
    </row>
    <row r="976" spans="3:5" x14ac:dyDescent="0.25">
      <c r="C976" s="31">
        <f t="shared" ca="1" si="40"/>
        <v>67.700465084044012</v>
      </c>
      <c r="E976">
        <v>75.158837294820216</v>
      </c>
    </row>
    <row r="977" spans="3:5" x14ac:dyDescent="0.25">
      <c r="C977" s="31">
        <f t="shared" ca="1" si="40"/>
        <v>54.448840560703225</v>
      </c>
      <c r="E977">
        <v>66.06352341506711</v>
      </c>
    </row>
    <row r="978" spans="3:5" x14ac:dyDescent="0.25">
      <c r="C978" s="31">
        <f t="shared" ca="1" si="40"/>
        <v>71.524756064261851</v>
      </c>
      <c r="E978">
        <v>58.111382464216121</v>
      </c>
    </row>
    <row r="979" spans="3:5" x14ac:dyDescent="0.25">
      <c r="C979" s="31">
        <f t="shared" ca="1" si="40"/>
        <v>66.657707554303073</v>
      </c>
      <c r="E979">
        <v>63.8248357412077</v>
      </c>
    </row>
    <row r="980" spans="3:5" x14ac:dyDescent="0.25">
      <c r="C980" s="31">
        <f t="shared" ca="1" si="40"/>
        <v>64.930690931749169</v>
      </c>
      <c r="E980">
        <v>64.931207131678633</v>
      </c>
    </row>
    <row r="981" spans="3:5" x14ac:dyDescent="0.25">
      <c r="C981" s="31">
        <f t="shared" ca="1" si="40"/>
        <v>42.748274605709298</v>
      </c>
      <c r="E981">
        <v>54.498309318450481</v>
      </c>
    </row>
    <row r="982" spans="3:5" x14ac:dyDescent="0.25">
      <c r="C982" s="31">
        <f t="shared" ca="1" si="40"/>
        <v>57.686798921656923</v>
      </c>
      <c r="E982">
        <v>55.713817724377421</v>
      </c>
    </row>
    <row r="983" spans="3:5" x14ac:dyDescent="0.25">
      <c r="C983" s="31">
        <f t="shared" ca="1" si="40"/>
        <v>69.799555235699657</v>
      </c>
      <c r="E983">
        <v>70.513589659447561</v>
      </c>
    </row>
    <row r="984" spans="3:5" x14ac:dyDescent="0.25">
      <c r="C984" s="31">
        <f t="shared" ca="1" si="40"/>
        <v>58.344277401480205</v>
      </c>
      <c r="E984">
        <v>72.307136222570762</v>
      </c>
    </row>
    <row r="985" spans="3:5" x14ac:dyDescent="0.25">
      <c r="C985" s="31">
        <f t="shared" ca="1" si="40"/>
        <v>51.512404572906334</v>
      </c>
      <c r="E985">
        <v>65.130097594332938</v>
      </c>
    </row>
    <row r="986" spans="3:5" x14ac:dyDescent="0.25">
      <c r="C986" s="31">
        <f t="shared" ca="1" si="40"/>
        <v>64.244241944093545</v>
      </c>
      <c r="E986">
        <v>59.891263386138327</v>
      </c>
    </row>
    <row r="987" spans="3:5" x14ac:dyDescent="0.25">
      <c r="C987" s="31">
        <f t="shared" ca="1" si="40"/>
        <v>61.479980502463164</v>
      </c>
      <c r="E987">
        <v>63.650901287343821</v>
      </c>
    </row>
    <row r="988" spans="3:5" x14ac:dyDescent="0.25">
      <c r="C988" s="31">
        <f t="shared" ca="1" si="40"/>
        <v>58.465517761476647</v>
      </c>
      <c r="E988">
        <v>61.758840276596118</v>
      </c>
    </row>
    <row r="989" spans="3:5" x14ac:dyDescent="0.25">
      <c r="C989" s="31">
        <f t="shared" ca="1" si="40"/>
        <v>58.650506953065502</v>
      </c>
      <c r="E989">
        <v>53.899189715327083</v>
      </c>
    </row>
    <row r="990" spans="3:5" x14ac:dyDescent="0.25">
      <c r="C990" s="31">
        <f t="shared" ca="1" si="40"/>
        <v>66.323788066845296</v>
      </c>
      <c r="E990">
        <v>65.59020302090282</v>
      </c>
    </row>
    <row r="991" spans="3:5" x14ac:dyDescent="0.25">
      <c r="C991" s="31">
        <f t="shared" ca="1" si="40"/>
        <v>64.231305906795455</v>
      </c>
      <c r="E991">
        <v>67.276307290196584</v>
      </c>
    </row>
    <row r="992" spans="3:5" x14ac:dyDescent="0.25">
      <c r="C992" s="31">
        <f t="shared" ca="1" si="40"/>
        <v>48.577447730659145</v>
      </c>
      <c r="E992">
        <v>52.479179730226647</v>
      </c>
    </row>
    <row r="993" spans="3:5" x14ac:dyDescent="0.25">
      <c r="C993" s="31">
        <f t="shared" ca="1" si="40"/>
        <v>55.502090299659734</v>
      </c>
      <c r="E993">
        <v>62.676467116648695</v>
      </c>
    </row>
    <row r="994" spans="3:5" x14ac:dyDescent="0.25">
      <c r="C994" s="31">
        <f t="shared" ca="1" si="40"/>
        <v>47.331585458571759</v>
      </c>
      <c r="E994">
        <v>66.368324901776518</v>
      </c>
    </row>
    <row r="995" spans="3:5" x14ac:dyDescent="0.25">
      <c r="C995" s="31">
        <f t="shared" ca="1" si="40"/>
        <v>74.294140178257607</v>
      </c>
      <c r="E995">
        <v>57.831457932221113</v>
      </c>
    </row>
    <row r="996" spans="3:5" x14ac:dyDescent="0.25">
      <c r="C996" s="31">
        <f t="shared" ca="1" si="40"/>
        <v>44.120805696729597</v>
      </c>
      <c r="E996">
        <v>51.189406113347374</v>
      </c>
    </row>
    <row r="997" spans="3:5" x14ac:dyDescent="0.25">
      <c r="C997" s="31">
        <f t="shared" ca="1" si="40"/>
        <v>61.967130432713283</v>
      </c>
      <c r="E997">
        <v>58.996321867848259</v>
      </c>
    </row>
    <row r="998" spans="3:5" x14ac:dyDescent="0.25">
      <c r="C998" s="31">
        <f t="shared" ca="1" si="40"/>
        <v>69.581024751247213</v>
      </c>
      <c r="E998">
        <v>55.667317028765986</v>
      </c>
    </row>
    <row r="999" spans="3:5" x14ac:dyDescent="0.25">
      <c r="C999" s="31">
        <f t="shared" ca="1" si="40"/>
        <v>53.787536369665801</v>
      </c>
      <c r="E999">
        <v>71.680222353863556</v>
      </c>
    </row>
    <row r="1000" spans="3:5" x14ac:dyDescent="0.25">
      <c r="C1000" s="31">
        <f t="shared" ca="1" si="40"/>
        <v>49.864933733973402</v>
      </c>
      <c r="E1000">
        <v>68.199006501273914</v>
      </c>
    </row>
    <row r="1001" spans="3:5" x14ac:dyDescent="0.25">
      <c r="C1001" s="31">
        <f t="shared" ca="1" si="40"/>
        <v>46.722981513057036</v>
      </c>
      <c r="E1001">
        <v>61.871263306734136</v>
      </c>
    </row>
    <row r="1002" spans="3:5" x14ac:dyDescent="0.25">
      <c r="C1002" s="31">
        <f t="shared" ca="1" si="40"/>
        <v>63.101313328827345</v>
      </c>
      <c r="E1002">
        <v>66.925618556215056</v>
      </c>
    </row>
    <row r="1003" spans="3:5" x14ac:dyDescent="0.25">
      <c r="C1003" s="31">
        <f t="shared" ca="1" si="40"/>
        <v>69.577032374737414</v>
      </c>
      <c r="E1003">
        <v>53.134961321841111</v>
      </c>
    </row>
    <row r="1004" spans="3:5" x14ac:dyDescent="0.25">
      <c r="C1004" s="31">
        <f t="shared" ca="1" si="40"/>
        <v>64.913128651781136</v>
      </c>
      <c r="E1004">
        <v>64.621070056434746</v>
      </c>
    </row>
    <row r="1005" spans="3:5" x14ac:dyDescent="0.25">
      <c r="C1005" s="31">
        <f t="shared" ca="1" si="40"/>
        <v>43.985800246772627</v>
      </c>
      <c r="E1005">
        <v>53.132964578669018</v>
      </c>
    </row>
    <row r="1006" spans="3:5" x14ac:dyDescent="0.25">
      <c r="C1006" s="31">
        <f t="shared" ca="1" si="40"/>
        <v>73.984586868583904</v>
      </c>
      <c r="E1006">
        <v>70.431198790744389</v>
      </c>
    </row>
    <row r="1007" spans="3:5" x14ac:dyDescent="0.25">
      <c r="C1007" s="31">
        <f t="shared" ca="1" si="40"/>
        <v>60.374899602603847</v>
      </c>
      <c r="E1007">
        <v>57.964942027805115</v>
      </c>
    </row>
    <row r="1008" spans="3:5" x14ac:dyDescent="0.25">
      <c r="C1008" s="31">
        <f t="shared" ca="1" si="40"/>
        <v>67.392741644152281</v>
      </c>
      <c r="E1008">
        <v>70.862067459827784</v>
      </c>
    </row>
    <row r="1009" spans="3:5" x14ac:dyDescent="0.25">
      <c r="C1009" s="31">
        <f t="shared" ca="1" si="40"/>
        <v>63.661440827363904</v>
      </c>
      <c r="E1009">
        <v>66.608712484903677</v>
      </c>
    </row>
    <row r="1010" spans="3:5" x14ac:dyDescent="0.25">
      <c r="C1010" s="31">
        <f t="shared" ca="1" si="40"/>
        <v>58.352295858127903</v>
      </c>
      <c r="E1010">
        <v>61.234370732989369</v>
      </c>
    </row>
    <row r="1011" spans="3:5" x14ac:dyDescent="0.25">
      <c r="C1011" s="31">
        <f t="shared" ca="1" si="40"/>
        <v>64.937267963792138</v>
      </c>
      <c r="E1011">
        <v>72.746806468540726</v>
      </c>
    </row>
    <row r="1012" spans="3:5" x14ac:dyDescent="0.25">
      <c r="C1012" s="31">
        <f t="shared" ca="1" si="40"/>
        <v>56.017113246237116</v>
      </c>
      <c r="E1012">
        <v>64.993497087804911</v>
      </c>
    </row>
    <row r="1013" spans="3:5" x14ac:dyDescent="0.25">
      <c r="C1013" s="31">
        <f t="shared" ca="1" si="40"/>
        <v>48.942745045515181</v>
      </c>
      <c r="E1013">
        <v>68.429306296650623</v>
      </c>
    </row>
    <row r="1014" spans="3:5" x14ac:dyDescent="0.25">
      <c r="C1014" s="31">
        <f t="shared" ca="1" si="40"/>
        <v>69.717864045592961</v>
      </c>
      <c r="E1014">
        <v>44.705312993024634</v>
      </c>
    </row>
    <row r="1015" spans="3:5" x14ac:dyDescent="0.25">
      <c r="C1015" s="31">
        <f t="shared" ca="1" si="40"/>
        <v>53.575972403497282</v>
      </c>
      <c r="E1015">
        <v>52.563559349720627</v>
      </c>
    </row>
    <row r="1016" spans="3:5" x14ac:dyDescent="0.25">
      <c r="C1016" s="31">
        <f t="shared" ca="1" si="40"/>
        <v>59.505826629496283</v>
      </c>
      <c r="E1016">
        <v>60.282632788901651</v>
      </c>
    </row>
    <row r="1017" spans="3:5" x14ac:dyDescent="0.25">
      <c r="C1017" s="31">
        <f t="shared" ca="1" si="40"/>
        <v>75.96409914799041</v>
      </c>
      <c r="E1017">
        <v>59.021151405136699</v>
      </c>
    </row>
    <row r="1018" spans="3:5" x14ac:dyDescent="0.25">
      <c r="C1018" s="31">
        <f t="shared" ca="1" si="40"/>
        <v>74.023471683272021</v>
      </c>
      <c r="E1018">
        <v>61.710925531058308</v>
      </c>
    </row>
    <row r="1019" spans="3:5" x14ac:dyDescent="0.25">
      <c r="C1019" s="31">
        <f t="shared" ca="1" si="40"/>
        <v>59.837363666599551</v>
      </c>
      <c r="E1019">
        <v>68.199463893446293</v>
      </c>
    </row>
    <row r="1020" spans="3:5" x14ac:dyDescent="0.25">
      <c r="C1020" s="31">
        <f t="shared" ca="1" si="40"/>
        <v>61.684830281862105</v>
      </c>
      <c r="E1020">
        <v>71.142719065950786</v>
      </c>
    </row>
    <row r="1021" spans="3:5" x14ac:dyDescent="0.25">
      <c r="C1021" s="31">
        <f t="shared" ca="1" si="40"/>
        <v>50.33292160454603</v>
      </c>
      <c r="E1021">
        <v>51.004643568559274</v>
      </c>
    </row>
    <row r="1022" spans="3:5" x14ac:dyDescent="0.25">
      <c r="C1022" s="31">
        <f t="shared" ref="C1022:C1085" ca="1" si="41">_xlfn.NORM.INV(RAND(),C$4,C$5)</f>
        <v>59.334551167367977</v>
      </c>
      <c r="E1022">
        <v>59.765916576295588</v>
      </c>
    </row>
    <row r="1023" spans="3:5" x14ac:dyDescent="0.25">
      <c r="C1023" s="31">
        <f t="shared" ca="1" si="41"/>
        <v>42.022511185124628</v>
      </c>
      <c r="E1023">
        <v>56.833987821537356</v>
      </c>
    </row>
    <row r="1024" spans="3:5" x14ac:dyDescent="0.25">
      <c r="C1024" s="31">
        <f t="shared" ca="1" si="41"/>
        <v>64.140138940090921</v>
      </c>
      <c r="E1024">
        <v>49.385584013841502</v>
      </c>
    </row>
    <row r="1025" spans="3:5" x14ac:dyDescent="0.25">
      <c r="C1025" s="31">
        <f t="shared" ca="1" si="41"/>
        <v>67.159797920906769</v>
      </c>
      <c r="E1025">
        <v>49.943841077782807</v>
      </c>
    </row>
    <row r="1026" spans="3:5" x14ac:dyDescent="0.25">
      <c r="C1026" s="31">
        <f t="shared" ca="1" si="41"/>
        <v>63.66543364579605</v>
      </c>
      <c r="E1026">
        <v>58.048667858024224</v>
      </c>
    </row>
    <row r="1027" spans="3:5" x14ac:dyDescent="0.25">
      <c r="C1027" s="31">
        <f t="shared" ca="1" si="41"/>
        <v>72.37726986097897</v>
      </c>
      <c r="E1027">
        <v>61.661772505305898</v>
      </c>
    </row>
    <row r="1028" spans="3:5" x14ac:dyDescent="0.25">
      <c r="C1028" s="31">
        <f t="shared" ca="1" si="41"/>
        <v>58.789159316527588</v>
      </c>
      <c r="E1028">
        <v>61.864168765399853</v>
      </c>
    </row>
    <row r="1029" spans="3:5" x14ac:dyDescent="0.25">
      <c r="C1029" s="31">
        <f t="shared" ca="1" si="41"/>
        <v>42.923286472378145</v>
      </c>
      <c r="E1029">
        <v>60.974802229499652</v>
      </c>
    </row>
    <row r="1030" spans="3:5" x14ac:dyDescent="0.25">
      <c r="C1030" s="31">
        <f t="shared" ca="1" si="41"/>
        <v>55.738943435491528</v>
      </c>
      <c r="E1030">
        <v>43.418057964771862</v>
      </c>
    </row>
    <row r="1031" spans="3:5" x14ac:dyDescent="0.25">
      <c r="C1031" s="31">
        <f t="shared" ca="1" si="41"/>
        <v>70.044267407401023</v>
      </c>
      <c r="E1031">
        <v>62.276958247060186</v>
      </c>
    </row>
    <row r="1032" spans="3:5" x14ac:dyDescent="0.25">
      <c r="C1032" s="31">
        <f t="shared" ca="1" si="41"/>
        <v>59.547161110472693</v>
      </c>
      <c r="E1032">
        <v>58.089525162100259</v>
      </c>
    </row>
    <row r="1033" spans="3:5" x14ac:dyDescent="0.25">
      <c r="C1033" s="31">
        <f t="shared" ca="1" si="41"/>
        <v>69.692345911670472</v>
      </c>
      <c r="E1033">
        <v>59.76016794742889</v>
      </c>
    </row>
    <row r="1034" spans="3:5" x14ac:dyDescent="0.25">
      <c r="C1034" s="31">
        <f t="shared" ca="1" si="41"/>
        <v>57.581788796991042</v>
      </c>
      <c r="E1034">
        <v>67.529839249901755</v>
      </c>
    </row>
    <row r="1035" spans="3:5" x14ac:dyDescent="0.25">
      <c r="C1035" s="31">
        <f t="shared" ca="1" si="41"/>
        <v>72.55325766510056</v>
      </c>
      <c r="E1035">
        <v>75.408367063513566</v>
      </c>
    </row>
    <row r="1036" spans="3:5" x14ac:dyDescent="0.25">
      <c r="C1036" s="31">
        <f t="shared" ca="1" si="41"/>
        <v>73.684012492198718</v>
      </c>
      <c r="E1036">
        <v>68.323833520817658</v>
      </c>
    </row>
    <row r="1037" spans="3:5" x14ac:dyDescent="0.25">
      <c r="C1037" s="31">
        <f t="shared" ca="1" si="41"/>
        <v>53.82707065250839</v>
      </c>
      <c r="E1037">
        <v>28.069576501091245</v>
      </c>
    </row>
    <row r="1038" spans="3:5" x14ac:dyDescent="0.25">
      <c r="C1038" s="31">
        <f t="shared" ca="1" si="41"/>
        <v>49.511882494259112</v>
      </c>
      <c r="E1038">
        <v>40.483052336686207</v>
      </c>
    </row>
    <row r="1039" spans="3:5" x14ac:dyDescent="0.25">
      <c r="C1039" s="31">
        <f t="shared" ca="1" si="41"/>
        <v>53.900692404351631</v>
      </c>
      <c r="E1039">
        <v>68.017433999663368</v>
      </c>
    </row>
    <row r="1040" spans="3:5" x14ac:dyDescent="0.25">
      <c r="C1040" s="31">
        <f t="shared" ca="1" si="41"/>
        <v>60.956942403435569</v>
      </c>
      <c r="E1040">
        <v>60.155524280294465</v>
      </c>
    </row>
    <row r="1041" spans="3:5" x14ac:dyDescent="0.25">
      <c r="C1041" s="31">
        <f t="shared" ca="1" si="41"/>
        <v>84.209676093029969</v>
      </c>
      <c r="E1041">
        <v>59.272395067036896</v>
      </c>
    </row>
    <row r="1042" spans="3:5" x14ac:dyDescent="0.25">
      <c r="C1042" s="31">
        <f t="shared" ca="1" si="41"/>
        <v>45.860698136768399</v>
      </c>
      <c r="E1042">
        <v>52.474271982701687</v>
      </c>
    </row>
    <row r="1043" spans="3:5" x14ac:dyDescent="0.25">
      <c r="C1043" s="31">
        <f t="shared" ca="1" si="41"/>
        <v>66.829146323624173</v>
      </c>
      <c r="E1043">
        <v>70.955088810592812</v>
      </c>
    </row>
    <row r="1044" spans="3:5" x14ac:dyDescent="0.25">
      <c r="C1044" s="31">
        <f t="shared" ca="1" si="41"/>
        <v>50.584999787506739</v>
      </c>
      <c r="E1044">
        <v>55.565054038441666</v>
      </c>
    </row>
    <row r="1045" spans="3:5" x14ac:dyDescent="0.25">
      <c r="C1045" s="31">
        <f t="shared" ca="1" si="41"/>
        <v>51.023409565820515</v>
      </c>
      <c r="E1045">
        <v>66.650751566825306</v>
      </c>
    </row>
    <row r="1046" spans="3:5" x14ac:dyDescent="0.25">
      <c r="C1046" s="31">
        <f t="shared" ca="1" si="41"/>
        <v>45.315718997160658</v>
      </c>
      <c r="E1046">
        <v>66.479333787975122</v>
      </c>
    </row>
    <row r="1047" spans="3:5" x14ac:dyDescent="0.25">
      <c r="C1047" s="31">
        <f t="shared" ca="1" si="41"/>
        <v>69.827788559635991</v>
      </c>
      <c r="E1047">
        <v>68.426876655128211</v>
      </c>
    </row>
    <row r="1048" spans="3:5" x14ac:dyDescent="0.25">
      <c r="C1048" s="31">
        <f t="shared" ca="1" si="41"/>
        <v>55.14740555903731</v>
      </c>
      <c r="E1048">
        <v>74.91705930300401</v>
      </c>
    </row>
    <row r="1049" spans="3:5" x14ac:dyDescent="0.25">
      <c r="C1049" s="31">
        <f t="shared" ca="1" si="41"/>
        <v>59.203598177751978</v>
      </c>
      <c r="E1049">
        <v>62.910833797740359</v>
      </c>
    </row>
    <row r="1050" spans="3:5" x14ac:dyDescent="0.25">
      <c r="C1050" s="31">
        <f t="shared" ca="1" si="41"/>
        <v>46.862229560217415</v>
      </c>
      <c r="E1050">
        <v>56.024958788572455</v>
      </c>
    </row>
    <row r="1051" spans="3:5" x14ac:dyDescent="0.25">
      <c r="C1051" s="31">
        <f t="shared" ca="1" si="41"/>
        <v>64.473380654692136</v>
      </c>
      <c r="E1051">
        <v>80.157327792818279</v>
      </c>
    </row>
    <row r="1052" spans="3:5" x14ac:dyDescent="0.25">
      <c r="C1052" s="31">
        <f t="shared" ca="1" si="41"/>
        <v>44.416606958971968</v>
      </c>
      <c r="E1052">
        <v>68.472175387549839</v>
      </c>
    </row>
    <row r="1053" spans="3:5" x14ac:dyDescent="0.25">
      <c r="C1053" s="31">
        <f t="shared" ca="1" si="41"/>
        <v>68.461069722826323</v>
      </c>
      <c r="E1053">
        <v>60.640546096958438</v>
      </c>
    </row>
    <row r="1054" spans="3:5" x14ac:dyDescent="0.25">
      <c r="C1054" s="31">
        <f t="shared" ca="1" si="41"/>
        <v>84.893541999578872</v>
      </c>
      <c r="E1054">
        <v>61.003054817364095</v>
      </c>
    </row>
    <row r="1055" spans="3:5" x14ac:dyDescent="0.25">
      <c r="C1055" s="31">
        <f t="shared" ca="1" si="41"/>
        <v>48.35002830018388</v>
      </c>
      <c r="E1055">
        <v>62.347001237565003</v>
      </c>
    </row>
    <row r="1056" spans="3:5" x14ac:dyDescent="0.25">
      <c r="C1056" s="31">
        <f t="shared" ca="1" si="41"/>
        <v>67.59261373851156</v>
      </c>
      <c r="E1056">
        <v>67.996582961389606</v>
      </c>
    </row>
    <row r="1057" spans="3:5" x14ac:dyDescent="0.25">
      <c r="C1057" s="31">
        <f t="shared" ca="1" si="41"/>
        <v>53.320036898302831</v>
      </c>
      <c r="E1057">
        <v>59.840346110400425</v>
      </c>
    </row>
    <row r="1058" spans="3:5" x14ac:dyDescent="0.25">
      <c r="C1058" s="31">
        <f t="shared" ca="1" si="41"/>
        <v>34.424743020594988</v>
      </c>
      <c r="E1058">
        <v>32.803144551011329</v>
      </c>
    </row>
    <row r="1059" spans="3:5" x14ac:dyDescent="0.25">
      <c r="C1059" s="31">
        <f t="shared" ca="1" si="41"/>
        <v>55.287193459242573</v>
      </c>
      <c r="E1059">
        <v>59.387178850676626</v>
      </c>
    </row>
    <row r="1060" spans="3:5" x14ac:dyDescent="0.25">
      <c r="C1060" s="31">
        <f t="shared" ca="1" si="41"/>
        <v>44.415601414704597</v>
      </c>
      <c r="E1060">
        <v>43.303401858436843</v>
      </c>
    </row>
    <row r="1061" spans="3:5" x14ac:dyDescent="0.25">
      <c r="C1061" s="31">
        <f t="shared" ca="1" si="41"/>
        <v>69.823871521883305</v>
      </c>
      <c r="E1061">
        <v>65.275629538461558</v>
      </c>
    </row>
    <row r="1062" spans="3:5" x14ac:dyDescent="0.25">
      <c r="C1062" s="31">
        <f t="shared" ca="1" si="41"/>
        <v>63.626797040059046</v>
      </c>
      <c r="E1062">
        <v>68.474264270776217</v>
      </c>
    </row>
    <row r="1063" spans="3:5" x14ac:dyDescent="0.25">
      <c r="C1063" s="31">
        <f t="shared" ca="1" si="41"/>
        <v>63.777571323529727</v>
      </c>
      <c r="E1063">
        <v>47.669132765958935</v>
      </c>
    </row>
    <row r="1064" spans="3:5" x14ac:dyDescent="0.25">
      <c r="C1064" s="31">
        <f t="shared" ca="1" si="41"/>
        <v>67.200238032705059</v>
      </c>
      <c r="E1064">
        <v>47.609711584431928</v>
      </c>
    </row>
    <row r="1065" spans="3:5" x14ac:dyDescent="0.25">
      <c r="C1065" s="31">
        <f t="shared" ca="1" si="41"/>
        <v>78.077444243433121</v>
      </c>
      <c r="E1065">
        <v>64.811002370620841</v>
      </c>
    </row>
    <row r="1066" spans="3:5" x14ac:dyDescent="0.25">
      <c r="C1066" s="31">
        <f t="shared" ca="1" si="41"/>
        <v>76.410239934962391</v>
      </c>
      <c r="E1066">
        <v>64.340419977844746</v>
      </c>
    </row>
    <row r="1067" spans="3:5" x14ac:dyDescent="0.25">
      <c r="C1067" s="31">
        <f t="shared" ca="1" si="41"/>
        <v>67.237011763346374</v>
      </c>
      <c r="E1067">
        <v>60.607035729519843</v>
      </c>
    </row>
    <row r="1068" spans="3:5" x14ac:dyDescent="0.25">
      <c r="C1068" s="31">
        <f t="shared" ca="1" si="41"/>
        <v>69.046662863896785</v>
      </c>
      <c r="E1068">
        <v>62.867300266404982</v>
      </c>
    </row>
    <row r="1069" spans="3:5" x14ac:dyDescent="0.25">
      <c r="C1069" s="31">
        <f t="shared" ca="1" si="41"/>
        <v>36.388555548646607</v>
      </c>
      <c r="E1069">
        <v>61.437235280214253</v>
      </c>
    </row>
    <row r="1070" spans="3:5" x14ac:dyDescent="0.25">
      <c r="C1070" s="31">
        <f t="shared" ca="1" si="41"/>
        <v>71.376563321052586</v>
      </c>
      <c r="E1070">
        <v>65.446466087076772</v>
      </c>
    </row>
    <row r="1071" spans="3:5" x14ac:dyDescent="0.25">
      <c r="C1071" s="31">
        <f t="shared" ca="1" si="41"/>
        <v>62.280974038132136</v>
      </c>
      <c r="E1071">
        <v>68.773457065882781</v>
      </c>
    </row>
    <row r="1072" spans="3:5" x14ac:dyDescent="0.25">
      <c r="C1072" s="31">
        <f t="shared" ca="1" si="41"/>
        <v>49.717261762134896</v>
      </c>
      <c r="E1072">
        <v>55.770606180748523</v>
      </c>
    </row>
    <row r="1073" spans="3:5" x14ac:dyDescent="0.25">
      <c r="C1073" s="31">
        <f t="shared" ca="1" si="41"/>
        <v>46.740289723198124</v>
      </c>
      <c r="E1073">
        <v>74.959766514353703</v>
      </c>
    </row>
    <row r="1074" spans="3:5" x14ac:dyDescent="0.25">
      <c r="C1074" s="31">
        <f t="shared" ca="1" si="41"/>
        <v>60.146696711933693</v>
      </c>
      <c r="E1074">
        <v>59.924559163109933</v>
      </c>
    </row>
    <row r="1075" spans="3:5" x14ac:dyDescent="0.25">
      <c r="C1075" s="31">
        <f t="shared" ca="1" si="41"/>
        <v>46.819057388931505</v>
      </c>
      <c r="E1075">
        <v>46.650523059116665</v>
      </c>
    </row>
    <row r="1076" spans="3:5" x14ac:dyDescent="0.25">
      <c r="C1076" s="31">
        <f t="shared" ca="1" si="41"/>
        <v>58.796900488232829</v>
      </c>
      <c r="E1076">
        <v>86.794683707970066</v>
      </c>
    </row>
    <row r="1077" spans="3:5" x14ac:dyDescent="0.25">
      <c r="C1077" s="31">
        <f t="shared" ca="1" si="41"/>
        <v>54.346560148995955</v>
      </c>
      <c r="E1077">
        <v>66.968091326210143</v>
      </c>
    </row>
    <row r="1078" spans="3:5" x14ac:dyDescent="0.25">
      <c r="C1078" s="31">
        <f t="shared" ca="1" si="41"/>
        <v>50.432798504358999</v>
      </c>
      <c r="E1078">
        <v>68.66913093604191</v>
      </c>
    </row>
    <row r="1079" spans="3:5" x14ac:dyDescent="0.25">
      <c r="C1079" s="31">
        <f t="shared" ca="1" si="41"/>
        <v>63.852871173725511</v>
      </c>
      <c r="E1079">
        <v>53.86372606331242</v>
      </c>
    </row>
    <row r="1080" spans="3:5" x14ac:dyDescent="0.25">
      <c r="C1080" s="31">
        <f t="shared" ca="1" si="41"/>
        <v>61.867577697135324</v>
      </c>
      <c r="E1080">
        <v>81.693454929496696</v>
      </c>
    </row>
    <row r="1081" spans="3:5" x14ac:dyDescent="0.25">
      <c r="C1081" s="31">
        <f t="shared" ca="1" si="41"/>
        <v>62.587891028636342</v>
      </c>
      <c r="E1081">
        <v>58.263159033588479</v>
      </c>
    </row>
    <row r="1082" spans="3:5" x14ac:dyDescent="0.25">
      <c r="C1082" s="31">
        <f t="shared" ca="1" si="41"/>
        <v>56.53429533690278</v>
      </c>
      <c r="E1082">
        <v>65.890844332358114</v>
      </c>
    </row>
    <row r="1083" spans="3:5" x14ac:dyDescent="0.25">
      <c r="C1083" s="31">
        <f t="shared" ca="1" si="41"/>
        <v>81.487385989297735</v>
      </c>
      <c r="E1083">
        <v>53.019939907275948</v>
      </c>
    </row>
    <row r="1084" spans="3:5" x14ac:dyDescent="0.25">
      <c r="C1084" s="31">
        <f t="shared" ca="1" si="41"/>
        <v>75.990988563600297</v>
      </c>
      <c r="E1084">
        <v>66.199369916589646</v>
      </c>
    </row>
    <row r="1085" spans="3:5" x14ac:dyDescent="0.25">
      <c r="C1085" s="31">
        <f t="shared" ca="1" si="41"/>
        <v>51.141756748535087</v>
      </c>
      <c r="E1085">
        <v>44.255454382173802</v>
      </c>
    </row>
    <row r="1086" spans="3:5" x14ac:dyDescent="0.25">
      <c r="C1086" s="31">
        <f t="shared" ref="C1086:C1149" ca="1" si="42">_xlfn.NORM.INV(RAND(),C$4,C$5)</f>
        <v>50.974082305100893</v>
      </c>
      <c r="E1086">
        <v>55.091342716589928</v>
      </c>
    </row>
    <row r="1087" spans="3:5" x14ac:dyDescent="0.25">
      <c r="C1087" s="31">
        <f t="shared" ca="1" si="42"/>
        <v>67.610705319244843</v>
      </c>
      <c r="E1087">
        <v>70.157652022377007</v>
      </c>
    </row>
    <row r="1088" spans="3:5" x14ac:dyDescent="0.25">
      <c r="C1088" s="31">
        <f t="shared" ca="1" si="42"/>
        <v>62.439593488786052</v>
      </c>
      <c r="E1088">
        <v>70.544477698140639</v>
      </c>
    </row>
    <row r="1089" spans="3:5" x14ac:dyDescent="0.25">
      <c r="C1089" s="31">
        <f t="shared" ca="1" si="42"/>
        <v>45.342620944953758</v>
      </c>
      <c r="E1089">
        <v>51.442182895789529</v>
      </c>
    </row>
    <row r="1090" spans="3:5" x14ac:dyDescent="0.25">
      <c r="C1090" s="31">
        <f t="shared" ca="1" si="42"/>
        <v>56.685465202756838</v>
      </c>
      <c r="E1090">
        <v>58.283950426523376</v>
      </c>
    </row>
    <row r="1091" spans="3:5" x14ac:dyDescent="0.25">
      <c r="C1091" s="31">
        <f t="shared" ca="1" si="42"/>
        <v>68.859290209657601</v>
      </c>
      <c r="E1091">
        <v>69.793007414413822</v>
      </c>
    </row>
    <row r="1092" spans="3:5" x14ac:dyDescent="0.25">
      <c r="C1092" s="31">
        <f t="shared" ca="1" si="42"/>
        <v>51.248884887674798</v>
      </c>
      <c r="E1092">
        <v>52.925963129601968</v>
      </c>
    </row>
    <row r="1093" spans="3:5" x14ac:dyDescent="0.25">
      <c r="C1093" s="31">
        <f t="shared" ca="1" si="42"/>
        <v>55.672103262646154</v>
      </c>
      <c r="E1093">
        <v>60.959802742159411</v>
      </c>
    </row>
    <row r="1094" spans="3:5" x14ac:dyDescent="0.25">
      <c r="C1094" s="31">
        <f t="shared" ca="1" si="42"/>
        <v>65.520964579416642</v>
      </c>
      <c r="E1094">
        <v>56.802171463565635</v>
      </c>
    </row>
    <row r="1095" spans="3:5" x14ac:dyDescent="0.25">
      <c r="C1095" s="31">
        <f t="shared" ca="1" si="42"/>
        <v>69.252654407977232</v>
      </c>
      <c r="E1095">
        <v>66.497665367012758</v>
      </c>
    </row>
    <row r="1096" spans="3:5" x14ac:dyDescent="0.25">
      <c r="C1096" s="31">
        <f t="shared" ca="1" si="42"/>
        <v>69.035583786000956</v>
      </c>
      <c r="E1096">
        <v>51.649191099085705</v>
      </c>
    </row>
    <row r="1097" spans="3:5" x14ac:dyDescent="0.25">
      <c r="C1097" s="31">
        <f t="shared" ca="1" si="42"/>
        <v>57.131866102129294</v>
      </c>
      <c r="E1097">
        <v>65.070444977676331</v>
      </c>
    </row>
    <row r="1098" spans="3:5" x14ac:dyDescent="0.25">
      <c r="C1098" s="31">
        <f t="shared" ca="1" si="42"/>
        <v>51.534902217069771</v>
      </c>
      <c r="E1098">
        <v>59.595735545623889</v>
      </c>
    </row>
    <row r="1099" spans="3:5" x14ac:dyDescent="0.25">
      <c r="C1099" s="31">
        <f t="shared" ca="1" si="42"/>
        <v>62.578320808595528</v>
      </c>
      <c r="E1099">
        <v>62.76936294753753</v>
      </c>
    </row>
    <row r="1100" spans="3:5" x14ac:dyDescent="0.25">
      <c r="C1100" s="31">
        <f t="shared" ca="1" si="42"/>
        <v>54.507510872593798</v>
      </c>
      <c r="E1100">
        <v>63.530950928082973</v>
      </c>
    </row>
    <row r="1101" spans="3:5" x14ac:dyDescent="0.25">
      <c r="C1101" s="31">
        <f t="shared" ca="1" si="42"/>
        <v>62.663213180284565</v>
      </c>
      <c r="E1101">
        <v>72.820625812875448</v>
      </c>
    </row>
    <row r="1102" spans="3:5" x14ac:dyDescent="0.25">
      <c r="C1102" s="31">
        <f t="shared" ca="1" si="42"/>
        <v>67.620011054508495</v>
      </c>
      <c r="E1102">
        <v>75.83674436359702</v>
      </c>
    </row>
    <row r="1103" spans="3:5" x14ac:dyDescent="0.25">
      <c r="C1103" s="31">
        <f t="shared" ca="1" si="42"/>
        <v>69.290186005789877</v>
      </c>
      <c r="E1103">
        <v>72.126219562726675</v>
      </c>
    </row>
    <row r="1104" spans="3:5" x14ac:dyDescent="0.25">
      <c r="C1104" s="31">
        <f t="shared" ca="1" si="42"/>
        <v>31.881946311754152</v>
      </c>
      <c r="E1104">
        <v>55.564875318542931</v>
      </c>
    </row>
    <row r="1105" spans="3:5" x14ac:dyDescent="0.25">
      <c r="C1105" s="31">
        <f t="shared" ca="1" si="42"/>
        <v>51.920076987623801</v>
      </c>
      <c r="E1105">
        <v>82.76427752010818</v>
      </c>
    </row>
    <row r="1106" spans="3:5" x14ac:dyDescent="0.25">
      <c r="C1106" s="31">
        <f t="shared" ca="1" si="42"/>
        <v>56.863423278270155</v>
      </c>
      <c r="E1106">
        <v>59.004844962872617</v>
      </c>
    </row>
    <row r="1107" spans="3:5" x14ac:dyDescent="0.25">
      <c r="C1107" s="31">
        <f t="shared" ca="1" si="42"/>
        <v>53.434113034547281</v>
      </c>
      <c r="E1107">
        <v>66.705511226235416</v>
      </c>
    </row>
    <row r="1108" spans="3:5" x14ac:dyDescent="0.25">
      <c r="C1108" s="31">
        <f t="shared" ca="1" si="42"/>
        <v>57.655708309283938</v>
      </c>
      <c r="E1108">
        <v>68.634475130986814</v>
      </c>
    </row>
    <row r="1109" spans="3:5" x14ac:dyDescent="0.25">
      <c r="C1109" s="31">
        <f t="shared" ca="1" si="42"/>
        <v>87.496296855893974</v>
      </c>
      <c r="E1109">
        <v>57.394840097749572</v>
      </c>
    </row>
    <row r="1110" spans="3:5" x14ac:dyDescent="0.25">
      <c r="C1110" s="31">
        <f t="shared" ca="1" si="42"/>
        <v>68.715618083479541</v>
      </c>
      <c r="E1110">
        <v>55.685267539786878</v>
      </c>
    </row>
    <row r="1111" spans="3:5" x14ac:dyDescent="0.25">
      <c r="C1111" s="31">
        <f t="shared" ca="1" si="42"/>
        <v>62.830167188736652</v>
      </c>
      <c r="E1111">
        <v>47.007250517279786</v>
      </c>
    </row>
    <row r="1112" spans="3:5" x14ac:dyDescent="0.25">
      <c r="C1112" s="31">
        <f t="shared" ca="1" si="42"/>
        <v>48.638943744428317</v>
      </c>
      <c r="E1112">
        <v>59.192189429397551</v>
      </c>
    </row>
    <row r="1113" spans="3:5" x14ac:dyDescent="0.25">
      <c r="C1113" s="31">
        <f t="shared" ca="1" si="42"/>
        <v>82.666435377148318</v>
      </c>
      <c r="E1113">
        <v>48.783214437489249</v>
      </c>
    </row>
    <row r="1114" spans="3:5" x14ac:dyDescent="0.25">
      <c r="C1114" s="31">
        <f t="shared" ca="1" si="42"/>
        <v>60.693262160098385</v>
      </c>
      <c r="E1114">
        <v>51.945588815605937</v>
      </c>
    </row>
    <row r="1115" spans="3:5" x14ac:dyDescent="0.25">
      <c r="C1115" s="31">
        <f t="shared" ca="1" si="42"/>
        <v>38.773185382468547</v>
      </c>
      <c r="E1115">
        <v>54.663016577035179</v>
      </c>
    </row>
    <row r="1116" spans="3:5" x14ac:dyDescent="0.25">
      <c r="C1116" s="31">
        <f t="shared" ca="1" si="42"/>
        <v>69.356515118429726</v>
      </c>
      <c r="E1116">
        <v>71.003766033281693</v>
      </c>
    </row>
    <row r="1117" spans="3:5" x14ac:dyDescent="0.25">
      <c r="C1117" s="31">
        <f t="shared" ca="1" si="42"/>
        <v>48.377574435483588</v>
      </c>
      <c r="E1117">
        <v>60.371541320557036</v>
      </c>
    </row>
    <row r="1118" spans="3:5" x14ac:dyDescent="0.25">
      <c r="C1118" s="31">
        <f t="shared" ca="1" si="42"/>
        <v>68.219010290431598</v>
      </c>
      <c r="E1118">
        <v>59.015193009679834</v>
      </c>
    </row>
    <row r="1119" spans="3:5" x14ac:dyDescent="0.25">
      <c r="C1119" s="31">
        <f t="shared" ca="1" si="42"/>
        <v>77.220499260213188</v>
      </c>
      <c r="E1119">
        <v>60.722097543661171</v>
      </c>
    </row>
    <row r="1120" spans="3:5" x14ac:dyDescent="0.25">
      <c r="C1120" s="31">
        <f t="shared" ca="1" si="42"/>
        <v>67.92204081681291</v>
      </c>
      <c r="E1120">
        <v>61.08284162841516</v>
      </c>
    </row>
    <row r="1121" spans="3:5" x14ac:dyDescent="0.25">
      <c r="C1121" s="31">
        <f t="shared" ca="1" si="42"/>
        <v>50.353338044559848</v>
      </c>
      <c r="E1121">
        <v>57.130662177934695</v>
      </c>
    </row>
    <row r="1122" spans="3:5" x14ac:dyDescent="0.25">
      <c r="C1122" s="31">
        <f t="shared" ca="1" si="42"/>
        <v>63.275432038805242</v>
      </c>
      <c r="E1122">
        <v>69.423199286265799</v>
      </c>
    </row>
    <row r="1123" spans="3:5" x14ac:dyDescent="0.25">
      <c r="C1123" s="31">
        <f t="shared" ca="1" si="42"/>
        <v>63.211868858415293</v>
      </c>
      <c r="E1123">
        <v>69.47784224841395</v>
      </c>
    </row>
    <row r="1124" spans="3:5" x14ac:dyDescent="0.25">
      <c r="C1124" s="31">
        <f t="shared" ca="1" si="42"/>
        <v>64.527515840593054</v>
      </c>
      <c r="E1124">
        <v>49.913464646114527</v>
      </c>
    </row>
    <row r="1125" spans="3:5" x14ac:dyDescent="0.25">
      <c r="C1125" s="31">
        <f t="shared" ca="1" si="42"/>
        <v>64.871397192213422</v>
      </c>
      <c r="E1125">
        <v>60.220536821031679</v>
      </c>
    </row>
    <row r="1126" spans="3:5" x14ac:dyDescent="0.25">
      <c r="C1126" s="31">
        <f t="shared" ca="1" si="42"/>
        <v>36.145288982920604</v>
      </c>
      <c r="E1126">
        <v>70.412833901906026</v>
      </c>
    </row>
    <row r="1127" spans="3:5" x14ac:dyDescent="0.25">
      <c r="C1127" s="31">
        <f t="shared" ca="1" si="42"/>
        <v>80.130623688500393</v>
      </c>
      <c r="E1127">
        <v>43.743859587972644</v>
      </c>
    </row>
    <row r="1128" spans="3:5" x14ac:dyDescent="0.25">
      <c r="C1128" s="31">
        <f t="shared" ca="1" si="42"/>
        <v>60.847902799127624</v>
      </c>
      <c r="E1128">
        <v>71.649473917871092</v>
      </c>
    </row>
    <row r="1129" spans="3:5" x14ac:dyDescent="0.25">
      <c r="C1129" s="31">
        <f t="shared" ca="1" si="42"/>
        <v>52.353029025949915</v>
      </c>
      <c r="E1129">
        <v>32.889038786007433</v>
      </c>
    </row>
    <row r="1130" spans="3:5" x14ac:dyDescent="0.25">
      <c r="C1130" s="31">
        <f t="shared" ca="1" si="42"/>
        <v>58.880809204530181</v>
      </c>
      <c r="E1130">
        <v>71.359095224860084</v>
      </c>
    </row>
    <row r="1131" spans="3:5" x14ac:dyDescent="0.25">
      <c r="C1131" s="31">
        <f t="shared" ca="1" si="42"/>
        <v>55.659671426134835</v>
      </c>
      <c r="E1131">
        <v>66.866617978929952</v>
      </c>
    </row>
    <row r="1132" spans="3:5" x14ac:dyDescent="0.25">
      <c r="C1132" s="31">
        <f t="shared" ca="1" si="42"/>
        <v>61.775669018347159</v>
      </c>
      <c r="E1132">
        <v>53.956777633579776</v>
      </c>
    </row>
    <row r="1133" spans="3:5" x14ac:dyDescent="0.25">
      <c r="C1133" s="31">
        <f t="shared" ca="1" si="42"/>
        <v>64.261723991071534</v>
      </c>
      <c r="E1133">
        <v>86.830598253682339</v>
      </c>
    </row>
    <row r="1134" spans="3:5" x14ac:dyDescent="0.25">
      <c r="C1134" s="31">
        <f t="shared" ca="1" si="42"/>
        <v>53.915253245863212</v>
      </c>
      <c r="E1134">
        <v>51.446804933449641</v>
      </c>
    </row>
    <row r="1135" spans="3:5" x14ac:dyDescent="0.25">
      <c r="C1135" s="31">
        <f t="shared" ca="1" si="42"/>
        <v>56.934559631342104</v>
      </c>
      <c r="E1135">
        <v>70.131763365305403</v>
      </c>
    </row>
    <row r="1136" spans="3:5" x14ac:dyDescent="0.25">
      <c r="C1136" s="31">
        <f t="shared" ca="1" si="42"/>
        <v>78.52492098205451</v>
      </c>
      <c r="E1136">
        <v>55.689072687669793</v>
      </c>
    </row>
    <row r="1137" spans="3:5" x14ac:dyDescent="0.25">
      <c r="C1137" s="31">
        <f t="shared" ca="1" si="42"/>
        <v>56.372390471654548</v>
      </c>
      <c r="E1137">
        <v>53.419509911039334</v>
      </c>
    </row>
    <row r="1138" spans="3:5" x14ac:dyDescent="0.25">
      <c r="C1138" s="31">
        <f t="shared" ca="1" si="42"/>
        <v>54.929795523142694</v>
      </c>
      <c r="E1138">
        <v>70.293285115708215</v>
      </c>
    </row>
    <row r="1139" spans="3:5" x14ac:dyDescent="0.25">
      <c r="C1139" s="31">
        <f t="shared" ca="1" si="42"/>
        <v>44.926851084215734</v>
      </c>
      <c r="E1139">
        <v>50.918464484118417</v>
      </c>
    </row>
    <row r="1140" spans="3:5" x14ac:dyDescent="0.25">
      <c r="C1140" s="31">
        <f t="shared" ca="1" si="42"/>
        <v>74.145183002229132</v>
      </c>
      <c r="E1140">
        <v>63.010685049505433</v>
      </c>
    </row>
    <row r="1141" spans="3:5" x14ac:dyDescent="0.25">
      <c r="C1141" s="31">
        <f t="shared" ca="1" si="42"/>
        <v>53.374368831986487</v>
      </c>
      <c r="E1141">
        <v>56.104114231351183</v>
      </c>
    </row>
    <row r="1142" spans="3:5" x14ac:dyDescent="0.25">
      <c r="C1142" s="31">
        <f t="shared" ca="1" si="42"/>
        <v>59.03117403577653</v>
      </c>
      <c r="E1142">
        <v>67.149890677830427</v>
      </c>
    </row>
    <row r="1143" spans="3:5" x14ac:dyDescent="0.25">
      <c r="C1143" s="31">
        <f t="shared" ca="1" si="42"/>
        <v>53.058832905723676</v>
      </c>
      <c r="E1143">
        <v>62.213293876150402</v>
      </c>
    </row>
    <row r="1144" spans="3:5" x14ac:dyDescent="0.25">
      <c r="C1144" s="31">
        <f t="shared" ca="1" si="42"/>
        <v>50.998416926808467</v>
      </c>
      <c r="E1144">
        <v>52.897718220079739</v>
      </c>
    </row>
    <row r="1145" spans="3:5" x14ac:dyDescent="0.25">
      <c r="C1145" s="31">
        <f t="shared" ca="1" si="42"/>
        <v>47.867170333000921</v>
      </c>
      <c r="E1145">
        <v>54.537588856280394</v>
      </c>
    </row>
    <row r="1146" spans="3:5" x14ac:dyDescent="0.25">
      <c r="C1146" s="31">
        <f t="shared" ca="1" si="42"/>
        <v>58.176900681900051</v>
      </c>
      <c r="E1146">
        <v>58.450812562154248</v>
      </c>
    </row>
    <row r="1147" spans="3:5" x14ac:dyDescent="0.25">
      <c r="C1147" s="31">
        <f t="shared" ca="1" si="42"/>
        <v>65.453660602201921</v>
      </c>
      <c r="E1147">
        <v>45.176690341114437</v>
      </c>
    </row>
    <row r="1148" spans="3:5" x14ac:dyDescent="0.25">
      <c r="C1148" s="31">
        <f t="shared" ca="1" si="42"/>
        <v>70.333399756286013</v>
      </c>
      <c r="E1148">
        <v>58.445615059674566</v>
      </c>
    </row>
    <row r="1149" spans="3:5" x14ac:dyDescent="0.25">
      <c r="C1149" s="31">
        <f t="shared" ca="1" si="42"/>
        <v>61.791837256046691</v>
      </c>
      <c r="E1149">
        <v>50.372751195278646</v>
      </c>
    </row>
    <row r="1150" spans="3:5" x14ac:dyDescent="0.25">
      <c r="C1150" s="31">
        <f t="shared" ref="C1150:C1213" ca="1" si="43">_xlfn.NORM.INV(RAND(),C$4,C$5)</f>
        <v>41.780874060383432</v>
      </c>
      <c r="E1150">
        <v>40.073458488947153</v>
      </c>
    </row>
    <row r="1151" spans="3:5" x14ac:dyDescent="0.25">
      <c r="C1151" s="31">
        <f t="shared" ca="1" si="43"/>
        <v>47.300345403155283</v>
      </c>
      <c r="E1151">
        <v>68.821621103950804</v>
      </c>
    </row>
    <row r="1152" spans="3:5" x14ac:dyDescent="0.25">
      <c r="C1152" s="31">
        <f t="shared" ca="1" si="43"/>
        <v>58.493645664906452</v>
      </c>
      <c r="E1152">
        <v>53.154944363278602</v>
      </c>
    </row>
    <row r="1153" spans="3:5" x14ac:dyDescent="0.25">
      <c r="C1153" s="31">
        <f t="shared" ca="1" si="43"/>
        <v>69.342729640988125</v>
      </c>
      <c r="E1153">
        <v>74.086301896499648</v>
      </c>
    </row>
    <row r="1154" spans="3:5" x14ac:dyDescent="0.25">
      <c r="C1154" s="31">
        <f t="shared" ca="1" si="43"/>
        <v>80.679994147376618</v>
      </c>
      <c r="E1154">
        <v>47.211544262430351</v>
      </c>
    </row>
    <row r="1155" spans="3:5" x14ac:dyDescent="0.25">
      <c r="C1155" s="31">
        <f t="shared" ca="1" si="43"/>
        <v>80.817954322567118</v>
      </c>
      <c r="E1155">
        <v>54.347640177171591</v>
      </c>
    </row>
    <row r="1156" spans="3:5" x14ac:dyDescent="0.25">
      <c r="C1156" s="31">
        <f t="shared" ca="1" si="43"/>
        <v>54.640602210559834</v>
      </c>
      <c r="E1156">
        <v>55.824263060831605</v>
      </c>
    </row>
    <row r="1157" spans="3:5" x14ac:dyDescent="0.25">
      <c r="C1157" s="31">
        <f t="shared" ca="1" si="43"/>
        <v>58.665402703735111</v>
      </c>
      <c r="E1157">
        <v>59.55746858627527</v>
      </c>
    </row>
    <row r="1158" spans="3:5" x14ac:dyDescent="0.25">
      <c r="C1158" s="31">
        <f t="shared" ca="1" si="43"/>
        <v>53.032696450925457</v>
      </c>
      <c r="E1158">
        <v>48.851081772620439</v>
      </c>
    </row>
    <row r="1159" spans="3:5" x14ac:dyDescent="0.25">
      <c r="C1159" s="31">
        <f t="shared" ca="1" si="43"/>
        <v>57.081758904370822</v>
      </c>
      <c r="E1159">
        <v>62.851906664590224</v>
      </c>
    </row>
    <row r="1160" spans="3:5" x14ac:dyDescent="0.25">
      <c r="C1160" s="31">
        <f t="shared" ca="1" si="43"/>
        <v>58.176761509742505</v>
      </c>
      <c r="E1160">
        <v>48.788724163635493</v>
      </c>
    </row>
    <row r="1161" spans="3:5" x14ac:dyDescent="0.25">
      <c r="C1161" s="31">
        <f t="shared" ca="1" si="43"/>
        <v>71.941868967230619</v>
      </c>
      <c r="E1161">
        <v>48.524448257895287</v>
      </c>
    </row>
    <row r="1162" spans="3:5" x14ac:dyDescent="0.25">
      <c r="C1162" s="31">
        <f t="shared" ca="1" si="43"/>
        <v>52.271577497032908</v>
      </c>
      <c r="E1162">
        <v>57.655988670915619</v>
      </c>
    </row>
    <row r="1163" spans="3:5" x14ac:dyDescent="0.25">
      <c r="C1163" s="31">
        <f t="shared" ca="1" si="43"/>
        <v>54.596546982408185</v>
      </c>
      <c r="E1163">
        <v>54.686888086861124</v>
      </c>
    </row>
    <row r="1164" spans="3:5" x14ac:dyDescent="0.25">
      <c r="C1164" s="31">
        <f t="shared" ca="1" si="43"/>
        <v>61.964553141677136</v>
      </c>
      <c r="E1164">
        <v>59.25140781336097</v>
      </c>
    </row>
    <row r="1165" spans="3:5" x14ac:dyDescent="0.25">
      <c r="C1165" s="31">
        <f t="shared" ca="1" si="43"/>
        <v>55.162185497475804</v>
      </c>
      <c r="E1165">
        <v>58.947445251704778</v>
      </c>
    </row>
    <row r="1166" spans="3:5" x14ac:dyDescent="0.25">
      <c r="C1166" s="31">
        <f t="shared" ca="1" si="43"/>
        <v>70.803543780444471</v>
      </c>
      <c r="E1166">
        <v>54.043495469253493</v>
      </c>
    </row>
    <row r="1167" spans="3:5" x14ac:dyDescent="0.25">
      <c r="C1167" s="31">
        <f t="shared" ca="1" si="43"/>
        <v>73.470618718617843</v>
      </c>
      <c r="E1167">
        <v>80.412917927749035</v>
      </c>
    </row>
    <row r="1168" spans="3:5" x14ac:dyDescent="0.25">
      <c r="C1168" s="31">
        <f t="shared" ca="1" si="43"/>
        <v>56.017980290859057</v>
      </c>
      <c r="E1168">
        <v>61.918013172661382</v>
      </c>
    </row>
    <row r="1169" spans="3:5" x14ac:dyDescent="0.25">
      <c r="C1169" s="31">
        <f t="shared" ca="1" si="43"/>
        <v>60.924679061889172</v>
      </c>
      <c r="E1169">
        <v>72.863701862847506</v>
      </c>
    </row>
    <row r="1170" spans="3:5" x14ac:dyDescent="0.25">
      <c r="C1170" s="31">
        <f t="shared" ca="1" si="43"/>
        <v>53.666832705036704</v>
      </c>
      <c r="E1170">
        <v>50.155422969688551</v>
      </c>
    </row>
    <row r="1171" spans="3:5" x14ac:dyDescent="0.25">
      <c r="C1171" s="31">
        <f t="shared" ca="1" si="43"/>
        <v>46.349476933900817</v>
      </c>
      <c r="E1171">
        <v>63.022307356096007</v>
      </c>
    </row>
    <row r="1172" spans="3:5" x14ac:dyDescent="0.25">
      <c r="C1172" s="31">
        <f t="shared" ca="1" si="43"/>
        <v>52.864964216485873</v>
      </c>
      <c r="E1172">
        <v>58.354406391764918</v>
      </c>
    </row>
    <row r="1173" spans="3:5" x14ac:dyDescent="0.25">
      <c r="C1173" s="31">
        <f t="shared" ca="1" si="43"/>
        <v>49.0783788196741</v>
      </c>
      <c r="E1173">
        <v>76.328763009734701</v>
      </c>
    </row>
    <row r="1174" spans="3:5" x14ac:dyDescent="0.25">
      <c r="C1174" s="31">
        <f t="shared" ca="1" si="43"/>
        <v>50.612931598397495</v>
      </c>
      <c r="E1174">
        <v>58.138553202363639</v>
      </c>
    </row>
    <row r="1175" spans="3:5" x14ac:dyDescent="0.25">
      <c r="C1175" s="31">
        <f t="shared" ca="1" si="43"/>
        <v>55.590409634856186</v>
      </c>
      <c r="E1175">
        <v>57.173226511757029</v>
      </c>
    </row>
    <row r="1176" spans="3:5" x14ac:dyDescent="0.25">
      <c r="C1176" s="31">
        <f t="shared" ca="1" si="43"/>
        <v>63.978439333554647</v>
      </c>
      <c r="E1176">
        <v>79.459189268063625</v>
      </c>
    </row>
    <row r="1177" spans="3:5" x14ac:dyDescent="0.25">
      <c r="C1177" s="31">
        <f t="shared" ca="1" si="43"/>
        <v>58.502324650189941</v>
      </c>
      <c r="E1177">
        <v>56.720770639198363</v>
      </c>
    </row>
    <row r="1178" spans="3:5" x14ac:dyDescent="0.25">
      <c r="C1178" s="31">
        <f t="shared" ca="1" si="43"/>
        <v>71.479627344848865</v>
      </c>
      <c r="E1178">
        <v>73.230115456446157</v>
      </c>
    </row>
    <row r="1179" spans="3:5" x14ac:dyDescent="0.25">
      <c r="C1179" s="31">
        <f t="shared" ca="1" si="43"/>
        <v>64.022832584750006</v>
      </c>
      <c r="E1179">
        <v>74.36446528113656</v>
      </c>
    </row>
    <row r="1180" spans="3:5" x14ac:dyDescent="0.25">
      <c r="C1180" s="31">
        <f t="shared" ca="1" si="43"/>
        <v>72.801893146687533</v>
      </c>
      <c r="E1180">
        <v>46.093211259030269</v>
      </c>
    </row>
    <row r="1181" spans="3:5" x14ac:dyDescent="0.25">
      <c r="C1181" s="31">
        <f t="shared" ca="1" si="43"/>
        <v>63.260975131476165</v>
      </c>
      <c r="E1181">
        <v>59.273903803318447</v>
      </c>
    </row>
    <row r="1182" spans="3:5" x14ac:dyDescent="0.25">
      <c r="C1182" s="31">
        <f t="shared" ca="1" si="43"/>
        <v>59.203597246261843</v>
      </c>
      <c r="E1182">
        <v>53.301676542842912</v>
      </c>
    </row>
    <row r="1183" spans="3:5" x14ac:dyDescent="0.25">
      <c r="C1183" s="31">
        <f t="shared" ca="1" si="43"/>
        <v>55.918333629703127</v>
      </c>
      <c r="E1183">
        <v>64.788788644016847</v>
      </c>
    </row>
    <row r="1184" spans="3:5" x14ac:dyDescent="0.25">
      <c r="C1184" s="31">
        <f t="shared" ca="1" si="43"/>
        <v>46.501633810865094</v>
      </c>
      <c r="E1184">
        <v>62.793807171600719</v>
      </c>
    </row>
    <row r="1185" spans="3:5" x14ac:dyDescent="0.25">
      <c r="C1185" s="31">
        <f t="shared" ca="1" si="43"/>
        <v>60.863558290741295</v>
      </c>
      <c r="E1185">
        <v>62.185152553643853</v>
      </c>
    </row>
    <row r="1186" spans="3:5" x14ac:dyDescent="0.25">
      <c r="C1186" s="31">
        <f t="shared" ca="1" si="43"/>
        <v>39.198865337189062</v>
      </c>
      <c r="E1186">
        <v>44.241307942985166</v>
      </c>
    </row>
    <row r="1187" spans="3:5" x14ac:dyDescent="0.25">
      <c r="C1187" s="31">
        <f t="shared" ca="1" si="43"/>
        <v>63.694948084225651</v>
      </c>
      <c r="E1187">
        <v>62.398545760195148</v>
      </c>
    </row>
    <row r="1188" spans="3:5" x14ac:dyDescent="0.25">
      <c r="C1188" s="31">
        <f t="shared" ca="1" si="43"/>
        <v>56.991949303697957</v>
      </c>
      <c r="E1188">
        <v>63.97479691357281</v>
      </c>
    </row>
    <row r="1189" spans="3:5" x14ac:dyDescent="0.25">
      <c r="C1189" s="31">
        <f t="shared" ca="1" si="43"/>
        <v>52.332009806511422</v>
      </c>
      <c r="E1189">
        <v>49.483857580080993</v>
      </c>
    </row>
    <row r="1190" spans="3:5" x14ac:dyDescent="0.25">
      <c r="C1190" s="31">
        <f t="shared" ca="1" si="43"/>
        <v>46.614674691389972</v>
      </c>
      <c r="E1190">
        <v>61.052520128071421</v>
      </c>
    </row>
    <row r="1191" spans="3:5" x14ac:dyDescent="0.25">
      <c r="C1191" s="31">
        <f t="shared" ca="1" si="43"/>
        <v>67.387645393009251</v>
      </c>
      <c r="E1191">
        <v>80.428295273231399</v>
      </c>
    </row>
    <row r="1192" spans="3:5" x14ac:dyDescent="0.25">
      <c r="C1192" s="31">
        <f t="shared" ca="1" si="43"/>
        <v>57.430759828528814</v>
      </c>
      <c r="E1192">
        <v>59.64173350905422</v>
      </c>
    </row>
    <row r="1193" spans="3:5" x14ac:dyDescent="0.25">
      <c r="C1193" s="31">
        <f t="shared" ca="1" si="43"/>
        <v>58.637343323849862</v>
      </c>
      <c r="E1193">
        <v>68.34678867400963</v>
      </c>
    </row>
    <row r="1194" spans="3:5" x14ac:dyDescent="0.25">
      <c r="C1194" s="31">
        <f t="shared" ca="1" si="43"/>
        <v>82.121733286134003</v>
      </c>
      <c r="E1194">
        <v>54.452053641275043</v>
      </c>
    </row>
    <row r="1195" spans="3:5" x14ac:dyDescent="0.25">
      <c r="C1195" s="31">
        <f t="shared" ca="1" si="43"/>
        <v>53.577729781080237</v>
      </c>
      <c r="E1195">
        <v>70.587783975263207</v>
      </c>
    </row>
    <row r="1196" spans="3:5" x14ac:dyDescent="0.25">
      <c r="C1196" s="31">
        <f t="shared" ca="1" si="43"/>
        <v>50.325831285147167</v>
      </c>
      <c r="E1196">
        <v>66.77174549388279</v>
      </c>
    </row>
    <row r="1197" spans="3:5" x14ac:dyDescent="0.25">
      <c r="C1197" s="31">
        <f t="shared" ca="1" si="43"/>
        <v>61.499003624914124</v>
      </c>
      <c r="E1197">
        <v>61.83745107504992</v>
      </c>
    </row>
    <row r="1198" spans="3:5" x14ac:dyDescent="0.25">
      <c r="C1198" s="31">
        <f t="shared" ca="1" si="43"/>
        <v>55.513280830933553</v>
      </c>
      <c r="E1198">
        <v>68.315801690619011</v>
      </c>
    </row>
    <row r="1199" spans="3:5" x14ac:dyDescent="0.25">
      <c r="C1199" s="31">
        <f t="shared" ca="1" si="43"/>
        <v>54.664115358098357</v>
      </c>
      <c r="E1199">
        <v>55.782010448209441</v>
      </c>
    </row>
    <row r="1200" spans="3:5" x14ac:dyDescent="0.25">
      <c r="C1200" s="31">
        <f t="shared" ca="1" si="43"/>
        <v>63.674646212367627</v>
      </c>
      <c r="E1200">
        <v>63.461697462653881</v>
      </c>
    </row>
    <row r="1201" spans="3:5" x14ac:dyDescent="0.25">
      <c r="C1201" s="31">
        <f t="shared" ca="1" si="43"/>
        <v>61.303070042982228</v>
      </c>
      <c r="E1201">
        <v>60.542045400673828</v>
      </c>
    </row>
    <row r="1202" spans="3:5" x14ac:dyDescent="0.25">
      <c r="C1202" s="31">
        <f t="shared" ca="1" si="43"/>
        <v>61.622570673391103</v>
      </c>
      <c r="E1202">
        <v>45.698837113474532</v>
      </c>
    </row>
    <row r="1203" spans="3:5" x14ac:dyDescent="0.25">
      <c r="C1203" s="31">
        <f t="shared" ca="1" si="43"/>
        <v>56.414240933899094</v>
      </c>
      <c r="E1203">
        <v>58.328727415185455</v>
      </c>
    </row>
    <row r="1204" spans="3:5" x14ac:dyDescent="0.25">
      <c r="C1204" s="31">
        <f t="shared" ca="1" si="43"/>
        <v>56.898277025891232</v>
      </c>
      <c r="E1204">
        <v>52.39682758389268</v>
      </c>
    </row>
    <row r="1205" spans="3:5" x14ac:dyDescent="0.25">
      <c r="C1205" s="31">
        <f t="shared" ca="1" si="43"/>
        <v>64.507271594177865</v>
      </c>
      <c r="E1205">
        <v>64.403238089817563</v>
      </c>
    </row>
    <row r="1206" spans="3:5" x14ac:dyDescent="0.25">
      <c r="C1206" s="31">
        <f t="shared" ca="1" si="43"/>
        <v>49.722153172758837</v>
      </c>
      <c r="E1206">
        <v>66.456295822034747</v>
      </c>
    </row>
    <row r="1207" spans="3:5" x14ac:dyDescent="0.25">
      <c r="C1207" s="31">
        <f t="shared" ca="1" si="43"/>
        <v>62.691537922673163</v>
      </c>
      <c r="E1207">
        <v>66.20734995190243</v>
      </c>
    </row>
    <row r="1208" spans="3:5" x14ac:dyDescent="0.25">
      <c r="C1208" s="31">
        <f t="shared" ca="1" si="43"/>
        <v>65.639718848249672</v>
      </c>
      <c r="E1208">
        <v>70.552172453990735</v>
      </c>
    </row>
    <row r="1209" spans="3:5" x14ac:dyDescent="0.25">
      <c r="C1209" s="31">
        <f t="shared" ca="1" si="43"/>
        <v>46.699461531932585</v>
      </c>
      <c r="E1209">
        <v>54.690470530514716</v>
      </c>
    </row>
    <row r="1210" spans="3:5" x14ac:dyDescent="0.25">
      <c r="C1210" s="31">
        <f t="shared" ca="1" si="43"/>
        <v>52.713904370610138</v>
      </c>
      <c r="E1210">
        <v>64.562209427608053</v>
      </c>
    </row>
    <row r="1211" spans="3:5" x14ac:dyDescent="0.25">
      <c r="C1211" s="31">
        <f t="shared" ca="1" si="43"/>
        <v>61.317748217012593</v>
      </c>
      <c r="E1211">
        <v>59.843427723535321</v>
      </c>
    </row>
    <row r="1212" spans="3:5" x14ac:dyDescent="0.25">
      <c r="C1212" s="31">
        <f t="shared" ca="1" si="43"/>
        <v>67.560973808543622</v>
      </c>
      <c r="E1212">
        <v>70.566584703469459</v>
      </c>
    </row>
    <row r="1213" spans="3:5" x14ac:dyDescent="0.25">
      <c r="C1213" s="31">
        <f t="shared" ca="1" si="43"/>
        <v>69.247443428416076</v>
      </c>
      <c r="E1213">
        <v>64.425661060574654</v>
      </c>
    </row>
    <row r="1214" spans="3:5" x14ac:dyDescent="0.25">
      <c r="C1214" s="31">
        <f t="shared" ref="C1214:C1277" ca="1" si="44">_xlfn.NORM.INV(RAND(),C$4,C$5)</f>
        <v>68.18407815006978</v>
      </c>
      <c r="E1214">
        <v>39.277687200771858</v>
      </c>
    </row>
    <row r="1215" spans="3:5" x14ac:dyDescent="0.25">
      <c r="C1215" s="31">
        <f t="shared" ca="1" si="44"/>
        <v>61.960063936826046</v>
      </c>
      <c r="E1215">
        <v>68.35482190739782</v>
      </c>
    </row>
    <row r="1216" spans="3:5" x14ac:dyDescent="0.25">
      <c r="C1216" s="31">
        <f t="shared" ca="1" si="44"/>
        <v>64.442141165721054</v>
      </c>
      <c r="E1216">
        <v>55.495738230905054</v>
      </c>
    </row>
    <row r="1217" spans="3:5" x14ac:dyDescent="0.25">
      <c r="C1217" s="31">
        <f t="shared" ca="1" si="44"/>
        <v>68.713255892336704</v>
      </c>
      <c r="E1217">
        <v>52.954764936375</v>
      </c>
    </row>
    <row r="1218" spans="3:5" x14ac:dyDescent="0.25">
      <c r="C1218" s="31">
        <f t="shared" ca="1" si="44"/>
        <v>66.251087744982797</v>
      </c>
      <c r="E1218">
        <v>65.151242410942714</v>
      </c>
    </row>
    <row r="1219" spans="3:5" x14ac:dyDescent="0.25">
      <c r="C1219" s="31">
        <f t="shared" ca="1" si="44"/>
        <v>58.259007238158247</v>
      </c>
      <c r="E1219">
        <v>51.610899719705039</v>
      </c>
    </row>
    <row r="1220" spans="3:5" x14ac:dyDescent="0.25">
      <c r="C1220" s="31">
        <f t="shared" ca="1" si="44"/>
        <v>61.928730153125478</v>
      </c>
      <c r="E1220">
        <v>67.104278503615447</v>
      </c>
    </row>
    <row r="1221" spans="3:5" x14ac:dyDescent="0.25">
      <c r="C1221" s="31">
        <f t="shared" ca="1" si="44"/>
        <v>54.14704130535987</v>
      </c>
      <c r="E1221">
        <v>64.764109757842419</v>
      </c>
    </row>
    <row r="1222" spans="3:5" x14ac:dyDescent="0.25">
      <c r="C1222" s="31">
        <f t="shared" ca="1" si="44"/>
        <v>66.44171793241793</v>
      </c>
      <c r="E1222">
        <v>67.747536235171239</v>
      </c>
    </row>
    <row r="1223" spans="3:5" x14ac:dyDescent="0.25">
      <c r="C1223" s="31">
        <f t="shared" ca="1" si="44"/>
        <v>65.72312773644127</v>
      </c>
      <c r="E1223">
        <v>25.045686320547411</v>
      </c>
    </row>
    <row r="1224" spans="3:5" x14ac:dyDescent="0.25">
      <c r="C1224" s="31">
        <f t="shared" ca="1" si="44"/>
        <v>72.9480348701982</v>
      </c>
      <c r="E1224">
        <v>57.631544165895193</v>
      </c>
    </row>
    <row r="1225" spans="3:5" x14ac:dyDescent="0.25">
      <c r="C1225" s="31">
        <f t="shared" ca="1" si="44"/>
        <v>50.440791369776598</v>
      </c>
      <c r="E1225">
        <v>73.897589494103244</v>
      </c>
    </row>
    <row r="1226" spans="3:5" x14ac:dyDescent="0.25">
      <c r="C1226" s="31">
        <f t="shared" ca="1" si="44"/>
        <v>53.214286907453364</v>
      </c>
      <c r="E1226">
        <v>64.314027783910987</v>
      </c>
    </row>
    <row r="1227" spans="3:5" x14ac:dyDescent="0.25">
      <c r="C1227" s="31">
        <f t="shared" ca="1" si="44"/>
        <v>66.95327547313002</v>
      </c>
      <c r="E1227">
        <v>48.576335815592259</v>
      </c>
    </row>
    <row r="1228" spans="3:5" x14ac:dyDescent="0.25">
      <c r="C1228" s="31">
        <f t="shared" ca="1" si="44"/>
        <v>53.668579313405104</v>
      </c>
      <c r="E1228">
        <v>64.978976089504116</v>
      </c>
    </row>
    <row r="1229" spans="3:5" x14ac:dyDescent="0.25">
      <c r="C1229" s="31">
        <f t="shared" ca="1" si="44"/>
        <v>73.560885828764782</v>
      </c>
      <c r="E1229">
        <v>55.598227302461552</v>
      </c>
    </row>
    <row r="1230" spans="3:5" x14ac:dyDescent="0.25">
      <c r="C1230" s="31">
        <f t="shared" ca="1" si="44"/>
        <v>66.214893425657095</v>
      </c>
      <c r="E1230">
        <v>55.300084190927862</v>
      </c>
    </row>
    <row r="1231" spans="3:5" x14ac:dyDescent="0.25">
      <c r="C1231" s="31">
        <f t="shared" ca="1" si="44"/>
        <v>65.759025662948559</v>
      </c>
      <c r="E1231">
        <v>78.343904851238477</v>
      </c>
    </row>
    <row r="1232" spans="3:5" x14ac:dyDescent="0.25">
      <c r="C1232" s="31">
        <f t="shared" ca="1" si="44"/>
        <v>70.92064570598103</v>
      </c>
      <c r="E1232">
        <v>46.644800973758976</v>
      </c>
    </row>
    <row r="1233" spans="3:5" x14ac:dyDescent="0.25">
      <c r="C1233" s="31">
        <f t="shared" ca="1" si="44"/>
        <v>68.704776751957027</v>
      </c>
      <c r="E1233">
        <v>67.468451016826975</v>
      </c>
    </row>
    <row r="1234" spans="3:5" x14ac:dyDescent="0.25">
      <c r="C1234" s="31">
        <f t="shared" ca="1" si="44"/>
        <v>62.263618609673976</v>
      </c>
      <c r="E1234">
        <v>85.370910080823052</v>
      </c>
    </row>
    <row r="1235" spans="3:5" x14ac:dyDescent="0.25">
      <c r="C1235" s="31">
        <f t="shared" ca="1" si="44"/>
        <v>53.765261331909542</v>
      </c>
      <c r="E1235">
        <v>77.537135641456373</v>
      </c>
    </row>
    <row r="1236" spans="3:5" x14ac:dyDescent="0.25">
      <c r="C1236" s="31">
        <f t="shared" ca="1" si="44"/>
        <v>56.416623361147714</v>
      </c>
      <c r="E1236">
        <v>54.033953140118037</v>
      </c>
    </row>
    <row r="1237" spans="3:5" x14ac:dyDescent="0.25">
      <c r="C1237" s="31">
        <f t="shared" ca="1" si="44"/>
        <v>50.599101188121018</v>
      </c>
      <c r="E1237">
        <v>64.528138043877163</v>
      </c>
    </row>
    <row r="1238" spans="3:5" x14ac:dyDescent="0.25">
      <c r="C1238" s="31">
        <f t="shared" ca="1" si="44"/>
        <v>68.690247490241518</v>
      </c>
      <c r="E1238">
        <v>68.552673643308822</v>
      </c>
    </row>
    <row r="1239" spans="3:5" x14ac:dyDescent="0.25">
      <c r="C1239" s="31">
        <f t="shared" ca="1" si="44"/>
        <v>48.848530097225691</v>
      </c>
      <c r="E1239">
        <v>75.143729160422325</v>
      </c>
    </row>
    <row r="1240" spans="3:5" x14ac:dyDescent="0.25">
      <c r="C1240" s="31">
        <f t="shared" ca="1" si="44"/>
        <v>65.047287428819232</v>
      </c>
      <c r="E1240">
        <v>67.137979847648538</v>
      </c>
    </row>
    <row r="1241" spans="3:5" x14ac:dyDescent="0.25">
      <c r="C1241" s="31">
        <f t="shared" ca="1" si="44"/>
        <v>51.867030464630552</v>
      </c>
      <c r="E1241">
        <v>83.520801109403621</v>
      </c>
    </row>
    <row r="1242" spans="3:5" x14ac:dyDescent="0.25">
      <c r="C1242" s="31">
        <f t="shared" ca="1" si="44"/>
        <v>62.621420514051366</v>
      </c>
      <c r="E1242">
        <v>50.46564197315093</v>
      </c>
    </row>
    <row r="1243" spans="3:5" x14ac:dyDescent="0.25">
      <c r="C1243" s="31">
        <f t="shared" ca="1" si="44"/>
        <v>64.572559005909596</v>
      </c>
      <c r="E1243">
        <v>70.9730487392805</v>
      </c>
    </row>
    <row r="1244" spans="3:5" x14ac:dyDescent="0.25">
      <c r="C1244" s="31">
        <f t="shared" ca="1" si="44"/>
        <v>75.501873486842243</v>
      </c>
      <c r="E1244">
        <v>60.529394877517326</v>
      </c>
    </row>
    <row r="1245" spans="3:5" x14ac:dyDescent="0.25">
      <c r="C1245" s="31">
        <f t="shared" ca="1" si="44"/>
        <v>79.558822361681436</v>
      </c>
      <c r="E1245">
        <v>74.12697906484135</v>
      </c>
    </row>
    <row r="1246" spans="3:5" x14ac:dyDescent="0.25">
      <c r="C1246" s="31">
        <f t="shared" ca="1" si="44"/>
        <v>57.445141682768202</v>
      </c>
      <c r="E1246">
        <v>57.220203836784258</v>
      </c>
    </row>
    <row r="1247" spans="3:5" x14ac:dyDescent="0.25">
      <c r="C1247" s="31">
        <f t="shared" ca="1" si="44"/>
        <v>51.966871148965957</v>
      </c>
      <c r="E1247">
        <v>61.331540001440032</v>
      </c>
    </row>
    <row r="1248" spans="3:5" x14ac:dyDescent="0.25">
      <c r="C1248" s="31">
        <f t="shared" ca="1" si="44"/>
        <v>75.4667461996318</v>
      </c>
      <c r="E1248">
        <v>55.697789303664727</v>
      </c>
    </row>
    <row r="1249" spans="3:5" x14ac:dyDescent="0.25">
      <c r="C1249" s="31">
        <f t="shared" ca="1" si="44"/>
        <v>57.43264558956033</v>
      </c>
      <c r="E1249">
        <v>42.861007193232524</v>
      </c>
    </row>
    <row r="1250" spans="3:5" x14ac:dyDescent="0.25">
      <c r="C1250" s="31">
        <f t="shared" ca="1" si="44"/>
        <v>68.134567127250065</v>
      </c>
      <c r="E1250">
        <v>46.117118278095319</v>
      </c>
    </row>
    <row r="1251" spans="3:5" x14ac:dyDescent="0.25">
      <c r="C1251" s="31">
        <f t="shared" ca="1" si="44"/>
        <v>61.629931451322605</v>
      </c>
      <c r="E1251">
        <v>67.602192949258054</v>
      </c>
    </row>
    <row r="1252" spans="3:5" x14ac:dyDescent="0.25">
      <c r="C1252" s="31">
        <f t="shared" ca="1" si="44"/>
        <v>61.939774763456491</v>
      </c>
      <c r="E1252">
        <v>28.472370494334655</v>
      </c>
    </row>
    <row r="1253" spans="3:5" x14ac:dyDescent="0.25">
      <c r="C1253" s="31">
        <f t="shared" ca="1" si="44"/>
        <v>45.226830782047344</v>
      </c>
      <c r="E1253">
        <v>60.9849322052671</v>
      </c>
    </row>
    <row r="1254" spans="3:5" x14ac:dyDescent="0.25">
      <c r="C1254" s="31">
        <f t="shared" ca="1" si="44"/>
        <v>56.529531354734175</v>
      </c>
      <c r="E1254">
        <v>54.483393924295193</v>
      </c>
    </row>
    <row r="1255" spans="3:5" x14ac:dyDescent="0.25">
      <c r="C1255" s="31">
        <f t="shared" ca="1" si="44"/>
        <v>61.601002646955315</v>
      </c>
      <c r="E1255">
        <v>45.005289905095516</v>
      </c>
    </row>
    <row r="1256" spans="3:5" x14ac:dyDescent="0.25">
      <c r="C1256" s="31">
        <f t="shared" ca="1" si="44"/>
        <v>82.324098710858294</v>
      </c>
      <c r="E1256">
        <v>50.139250176798626</v>
      </c>
    </row>
    <row r="1257" spans="3:5" x14ac:dyDescent="0.25">
      <c r="C1257" s="31">
        <f t="shared" ca="1" si="44"/>
        <v>61.027455482936809</v>
      </c>
      <c r="E1257">
        <v>59.828685063109369</v>
      </c>
    </row>
    <row r="1258" spans="3:5" x14ac:dyDescent="0.25">
      <c r="C1258" s="31">
        <f t="shared" ca="1" si="44"/>
        <v>65.258241321797541</v>
      </c>
      <c r="E1258">
        <v>53.622523530208568</v>
      </c>
    </row>
    <row r="1259" spans="3:5" x14ac:dyDescent="0.25">
      <c r="C1259" s="31">
        <f t="shared" ca="1" si="44"/>
        <v>44.221787593200688</v>
      </c>
      <c r="E1259">
        <v>56.954269761768487</v>
      </c>
    </row>
    <row r="1260" spans="3:5" x14ac:dyDescent="0.25">
      <c r="C1260" s="31">
        <f t="shared" ca="1" si="44"/>
        <v>31.129514821785808</v>
      </c>
      <c r="E1260">
        <v>47.124369757741462</v>
      </c>
    </row>
    <row r="1261" spans="3:5" x14ac:dyDescent="0.25">
      <c r="C1261" s="31">
        <f t="shared" ca="1" si="44"/>
        <v>61.091018112303395</v>
      </c>
      <c r="E1261">
        <v>64.677076446063424</v>
      </c>
    </row>
    <row r="1262" spans="3:5" x14ac:dyDescent="0.25">
      <c r="C1262" s="31">
        <f t="shared" ca="1" si="44"/>
        <v>77.56681680988379</v>
      </c>
      <c r="E1262">
        <v>40.97003291264398</v>
      </c>
    </row>
    <row r="1263" spans="3:5" x14ac:dyDescent="0.25">
      <c r="C1263" s="31">
        <f t="shared" ca="1" si="44"/>
        <v>63.192493379823873</v>
      </c>
      <c r="E1263">
        <v>76.953586856996679</v>
      </c>
    </row>
    <row r="1264" spans="3:5" x14ac:dyDescent="0.25">
      <c r="C1264" s="31">
        <f t="shared" ca="1" si="44"/>
        <v>72.37956610821783</v>
      </c>
      <c r="E1264">
        <v>69.507051499928963</v>
      </c>
    </row>
    <row r="1265" spans="3:5" x14ac:dyDescent="0.25">
      <c r="C1265" s="31">
        <f t="shared" ca="1" si="44"/>
        <v>58.75844979431546</v>
      </c>
      <c r="E1265">
        <v>48.900175622216608</v>
      </c>
    </row>
    <row r="1266" spans="3:5" x14ac:dyDescent="0.25">
      <c r="C1266" s="31">
        <f t="shared" ca="1" si="44"/>
        <v>55.67943598647738</v>
      </c>
      <c r="E1266">
        <v>58.096518463474546</v>
      </c>
    </row>
    <row r="1267" spans="3:5" x14ac:dyDescent="0.25">
      <c r="C1267" s="31">
        <f t="shared" ca="1" si="44"/>
        <v>52.10805672029872</v>
      </c>
      <c r="E1267">
        <v>55.566098072982157</v>
      </c>
    </row>
    <row r="1268" spans="3:5" x14ac:dyDescent="0.25">
      <c r="C1268" s="31">
        <f t="shared" ca="1" si="44"/>
        <v>51.630789292792315</v>
      </c>
      <c r="E1268">
        <v>39.464554721991405</v>
      </c>
    </row>
    <row r="1269" spans="3:5" x14ac:dyDescent="0.25">
      <c r="C1269" s="31">
        <f t="shared" ca="1" si="44"/>
        <v>56.697377547077281</v>
      </c>
      <c r="E1269">
        <v>61.998481799538034</v>
      </c>
    </row>
    <row r="1270" spans="3:5" x14ac:dyDescent="0.25">
      <c r="C1270" s="31">
        <f t="shared" ca="1" si="44"/>
        <v>60.56251178036257</v>
      </c>
      <c r="E1270">
        <v>64.70256205901336</v>
      </c>
    </row>
    <row r="1271" spans="3:5" x14ac:dyDescent="0.25">
      <c r="C1271" s="31">
        <f t="shared" ca="1" si="44"/>
        <v>43.627487820501464</v>
      </c>
      <c r="E1271">
        <v>75.935438050781869</v>
      </c>
    </row>
    <row r="1272" spans="3:5" x14ac:dyDescent="0.25">
      <c r="C1272" s="31">
        <f t="shared" ca="1" si="44"/>
        <v>51.014124833192625</v>
      </c>
      <c r="E1272">
        <v>85.397883443564282</v>
      </c>
    </row>
    <row r="1273" spans="3:5" x14ac:dyDescent="0.25">
      <c r="C1273" s="31">
        <f t="shared" ca="1" si="44"/>
        <v>54.653915129323138</v>
      </c>
      <c r="E1273">
        <v>58.895049513251941</v>
      </c>
    </row>
    <row r="1274" spans="3:5" x14ac:dyDescent="0.25">
      <c r="C1274" s="31">
        <f t="shared" ca="1" si="44"/>
        <v>61.320258581420646</v>
      </c>
      <c r="E1274">
        <v>49.105018365951864</v>
      </c>
    </row>
    <row r="1275" spans="3:5" x14ac:dyDescent="0.25">
      <c r="C1275" s="31">
        <f t="shared" ca="1" si="44"/>
        <v>56.416602941782834</v>
      </c>
      <c r="E1275">
        <v>48.141131089717263</v>
      </c>
    </row>
    <row r="1276" spans="3:5" x14ac:dyDescent="0.25">
      <c r="C1276" s="31">
        <f t="shared" ca="1" si="44"/>
        <v>55.595561766572068</v>
      </c>
      <c r="E1276">
        <v>41.738621478734004</v>
      </c>
    </row>
    <row r="1277" spans="3:5" x14ac:dyDescent="0.25">
      <c r="C1277" s="31">
        <f t="shared" ca="1" si="44"/>
        <v>68.533931217145451</v>
      </c>
      <c r="E1277">
        <v>79.034067031330693</v>
      </c>
    </row>
    <row r="1278" spans="3:5" x14ac:dyDescent="0.25">
      <c r="C1278" s="31">
        <f t="shared" ref="C1278:C1341" ca="1" si="45">_xlfn.NORM.INV(RAND(),C$4,C$5)</f>
        <v>54.089203161446889</v>
      </c>
      <c r="E1278">
        <v>83.286439173074527</v>
      </c>
    </row>
    <row r="1279" spans="3:5" x14ac:dyDescent="0.25">
      <c r="C1279" s="31">
        <f t="shared" ca="1" si="45"/>
        <v>47.575732162694528</v>
      </c>
      <c r="E1279">
        <v>61.997522341881073</v>
      </c>
    </row>
    <row r="1280" spans="3:5" x14ac:dyDescent="0.25">
      <c r="C1280" s="31">
        <f t="shared" ca="1" si="45"/>
        <v>58.292966917299445</v>
      </c>
      <c r="E1280">
        <v>68.910431564810978</v>
      </c>
    </row>
    <row r="1281" spans="3:5" x14ac:dyDescent="0.25">
      <c r="C1281" s="31">
        <f t="shared" ca="1" si="45"/>
        <v>65.219684293499625</v>
      </c>
      <c r="E1281">
        <v>56.625666383826825</v>
      </c>
    </row>
    <row r="1282" spans="3:5" x14ac:dyDescent="0.25">
      <c r="C1282" s="31">
        <f t="shared" ca="1" si="45"/>
        <v>51.866789915909415</v>
      </c>
      <c r="E1282">
        <v>65.276646532087028</v>
      </c>
    </row>
    <row r="1283" spans="3:5" x14ac:dyDescent="0.25">
      <c r="C1283" s="31">
        <f t="shared" ca="1" si="45"/>
        <v>60.332775036201348</v>
      </c>
      <c r="E1283">
        <v>56.953574723559122</v>
      </c>
    </row>
    <row r="1284" spans="3:5" x14ac:dyDescent="0.25">
      <c r="C1284" s="31">
        <f t="shared" ca="1" si="45"/>
        <v>59.016598872741774</v>
      </c>
      <c r="E1284">
        <v>56.982026647220387</v>
      </c>
    </row>
    <row r="1285" spans="3:5" x14ac:dyDescent="0.25">
      <c r="C1285" s="31">
        <f t="shared" ca="1" si="45"/>
        <v>63.202725771652972</v>
      </c>
      <c r="E1285">
        <v>66.191057741100138</v>
      </c>
    </row>
    <row r="1286" spans="3:5" x14ac:dyDescent="0.25">
      <c r="C1286" s="31">
        <f t="shared" ca="1" si="45"/>
        <v>70.655130230468316</v>
      </c>
      <c r="E1286">
        <v>62.993999644213126</v>
      </c>
    </row>
    <row r="1287" spans="3:5" x14ac:dyDescent="0.25">
      <c r="C1287" s="31">
        <f t="shared" ca="1" si="45"/>
        <v>54.563709502562034</v>
      </c>
      <c r="E1287">
        <v>63.945299378143282</v>
      </c>
    </row>
    <row r="1288" spans="3:5" x14ac:dyDescent="0.25">
      <c r="C1288" s="31">
        <f t="shared" ca="1" si="45"/>
        <v>54.476216795188861</v>
      </c>
      <c r="E1288">
        <v>48.574734186356778</v>
      </c>
    </row>
    <row r="1289" spans="3:5" x14ac:dyDescent="0.25">
      <c r="C1289" s="31">
        <f t="shared" ca="1" si="45"/>
        <v>71.364673077434247</v>
      </c>
      <c r="E1289">
        <v>75.080818547462925</v>
      </c>
    </row>
    <row r="1290" spans="3:5" x14ac:dyDescent="0.25">
      <c r="C1290" s="31">
        <f t="shared" ca="1" si="45"/>
        <v>63.628603341203402</v>
      </c>
      <c r="E1290">
        <v>51.220881691638226</v>
      </c>
    </row>
    <row r="1291" spans="3:5" x14ac:dyDescent="0.25">
      <c r="C1291" s="31">
        <f t="shared" ca="1" si="45"/>
        <v>56.634006653417543</v>
      </c>
      <c r="E1291">
        <v>35.914848396673094</v>
      </c>
    </row>
    <row r="1292" spans="3:5" x14ac:dyDescent="0.25">
      <c r="C1292" s="31">
        <f t="shared" ca="1" si="45"/>
        <v>65.053488578658587</v>
      </c>
      <c r="E1292">
        <v>52.972321783765452</v>
      </c>
    </row>
    <row r="1293" spans="3:5" x14ac:dyDescent="0.25">
      <c r="C1293" s="31">
        <f t="shared" ca="1" si="45"/>
        <v>58.685835165658077</v>
      </c>
      <c r="E1293">
        <v>65.913706409581621</v>
      </c>
    </row>
    <row r="1294" spans="3:5" x14ac:dyDescent="0.25">
      <c r="C1294" s="31">
        <f t="shared" ca="1" si="45"/>
        <v>66.244560361355923</v>
      </c>
      <c r="E1294">
        <v>57.341205723059836</v>
      </c>
    </row>
    <row r="1295" spans="3:5" x14ac:dyDescent="0.25">
      <c r="C1295" s="31">
        <f t="shared" ca="1" si="45"/>
        <v>49.589020862450319</v>
      </c>
      <c r="E1295">
        <v>74.454104092819108</v>
      </c>
    </row>
    <row r="1296" spans="3:5" x14ac:dyDescent="0.25">
      <c r="C1296" s="31">
        <f t="shared" ca="1" si="45"/>
        <v>88.454042299534649</v>
      </c>
      <c r="E1296">
        <v>77.378806855088015</v>
      </c>
    </row>
    <row r="1297" spans="3:5" x14ac:dyDescent="0.25">
      <c r="C1297" s="31">
        <f t="shared" ca="1" si="45"/>
        <v>58.485516544147323</v>
      </c>
      <c r="E1297">
        <v>63.073541872632575</v>
      </c>
    </row>
    <row r="1298" spans="3:5" x14ac:dyDescent="0.25">
      <c r="C1298" s="31">
        <f t="shared" ca="1" si="45"/>
        <v>53.477861093635958</v>
      </c>
      <c r="E1298">
        <v>63.643478847727941</v>
      </c>
    </row>
    <row r="1299" spans="3:5" x14ac:dyDescent="0.25">
      <c r="C1299" s="31">
        <f t="shared" ca="1" si="45"/>
        <v>54.654505929880564</v>
      </c>
      <c r="E1299">
        <v>45.296053158834695</v>
      </c>
    </row>
    <row r="1300" spans="3:5" x14ac:dyDescent="0.25">
      <c r="C1300" s="31">
        <f t="shared" ca="1" si="45"/>
        <v>63.16970484210951</v>
      </c>
      <c r="E1300">
        <v>54.62371577921509</v>
      </c>
    </row>
    <row r="1301" spans="3:5" x14ac:dyDescent="0.25">
      <c r="C1301" s="31">
        <f t="shared" ca="1" si="45"/>
        <v>70.116508540464181</v>
      </c>
      <c r="E1301">
        <v>73.29136601597942</v>
      </c>
    </row>
    <row r="1302" spans="3:5" x14ac:dyDescent="0.25">
      <c r="C1302" s="31">
        <f t="shared" ca="1" si="45"/>
        <v>69.519590959522603</v>
      </c>
      <c r="E1302">
        <v>51.363761941691479</v>
      </c>
    </row>
    <row r="1303" spans="3:5" x14ac:dyDescent="0.25">
      <c r="C1303" s="31">
        <f t="shared" ca="1" si="45"/>
        <v>45.074976144775704</v>
      </c>
      <c r="E1303">
        <v>63.163871085187829</v>
      </c>
    </row>
    <row r="1304" spans="3:5" x14ac:dyDescent="0.25">
      <c r="C1304" s="31">
        <f t="shared" ca="1" si="45"/>
        <v>73.416915727642689</v>
      </c>
      <c r="E1304">
        <v>54.283982574966075</v>
      </c>
    </row>
    <row r="1305" spans="3:5" x14ac:dyDescent="0.25">
      <c r="C1305" s="31">
        <f t="shared" ca="1" si="45"/>
        <v>48.482478891567794</v>
      </c>
      <c r="E1305">
        <v>67.726392185773733</v>
      </c>
    </row>
    <row r="1306" spans="3:5" x14ac:dyDescent="0.25">
      <c r="C1306" s="31">
        <f t="shared" ca="1" si="45"/>
        <v>45.333920078731495</v>
      </c>
      <c r="E1306">
        <v>82.248200563643906</v>
      </c>
    </row>
    <row r="1307" spans="3:5" x14ac:dyDescent="0.25">
      <c r="C1307" s="31">
        <f t="shared" ca="1" si="45"/>
        <v>68.783013370409165</v>
      </c>
      <c r="E1307">
        <v>51.667020654528073</v>
      </c>
    </row>
    <row r="1308" spans="3:5" x14ac:dyDescent="0.25">
      <c r="C1308" s="31">
        <f t="shared" ca="1" si="45"/>
        <v>75.891177597478148</v>
      </c>
      <c r="E1308">
        <v>44.8353680409584</v>
      </c>
    </row>
    <row r="1309" spans="3:5" x14ac:dyDescent="0.25">
      <c r="C1309" s="31">
        <f t="shared" ca="1" si="45"/>
        <v>61.246416415242365</v>
      </c>
      <c r="E1309">
        <v>70.551320215243805</v>
      </c>
    </row>
    <row r="1310" spans="3:5" x14ac:dyDescent="0.25">
      <c r="C1310" s="31">
        <f t="shared" ca="1" si="45"/>
        <v>45.984551547277668</v>
      </c>
      <c r="E1310">
        <v>68.598001302048146</v>
      </c>
    </row>
    <row r="1311" spans="3:5" x14ac:dyDescent="0.25">
      <c r="C1311" s="31">
        <f t="shared" ca="1" si="45"/>
        <v>51.688078644719504</v>
      </c>
      <c r="E1311">
        <v>67.214624902575679</v>
      </c>
    </row>
    <row r="1312" spans="3:5" x14ac:dyDescent="0.25">
      <c r="C1312" s="31">
        <f t="shared" ca="1" si="45"/>
        <v>43.783182875700533</v>
      </c>
      <c r="E1312">
        <v>63.576853763031494</v>
      </c>
    </row>
    <row r="1313" spans="3:5" x14ac:dyDescent="0.25">
      <c r="C1313" s="31">
        <f t="shared" ca="1" si="45"/>
        <v>68.39110606605712</v>
      </c>
      <c r="E1313">
        <v>69.95709950340752</v>
      </c>
    </row>
    <row r="1314" spans="3:5" x14ac:dyDescent="0.25">
      <c r="C1314" s="31">
        <f t="shared" ca="1" si="45"/>
        <v>66.896348050650943</v>
      </c>
      <c r="E1314">
        <v>54.337675398890084</v>
      </c>
    </row>
    <row r="1315" spans="3:5" x14ac:dyDescent="0.25">
      <c r="C1315" s="31">
        <f t="shared" ca="1" si="45"/>
        <v>62.031867254382377</v>
      </c>
      <c r="E1315">
        <v>56.078511436443762</v>
      </c>
    </row>
    <row r="1316" spans="3:5" x14ac:dyDescent="0.25">
      <c r="C1316" s="31">
        <f t="shared" ca="1" si="45"/>
        <v>76.450520974556483</v>
      </c>
      <c r="E1316">
        <v>64.991872138037508</v>
      </c>
    </row>
    <row r="1317" spans="3:5" x14ac:dyDescent="0.25">
      <c r="C1317" s="31">
        <f t="shared" ca="1" si="45"/>
        <v>65.536110389510213</v>
      </c>
      <c r="E1317">
        <v>69.519515015031374</v>
      </c>
    </row>
    <row r="1318" spans="3:5" x14ac:dyDescent="0.25">
      <c r="C1318" s="31">
        <f t="shared" ca="1" si="45"/>
        <v>70.089169895616479</v>
      </c>
      <c r="E1318">
        <v>55.781446910059543</v>
      </c>
    </row>
    <row r="1319" spans="3:5" x14ac:dyDescent="0.25">
      <c r="C1319" s="31">
        <f t="shared" ca="1" si="45"/>
        <v>70.206574150361121</v>
      </c>
      <c r="E1319">
        <v>68.296437948374219</v>
      </c>
    </row>
    <row r="1320" spans="3:5" x14ac:dyDescent="0.25">
      <c r="C1320" s="31">
        <f t="shared" ca="1" si="45"/>
        <v>35.770872252702482</v>
      </c>
      <c r="E1320">
        <v>63.687007385110917</v>
      </c>
    </row>
    <row r="1321" spans="3:5" x14ac:dyDescent="0.25">
      <c r="C1321" s="31">
        <f t="shared" ca="1" si="45"/>
        <v>66.649018346742523</v>
      </c>
      <c r="E1321">
        <v>58.196504884399516</v>
      </c>
    </row>
    <row r="1322" spans="3:5" x14ac:dyDescent="0.25">
      <c r="C1322" s="31">
        <f t="shared" ca="1" si="45"/>
        <v>57.507187374150675</v>
      </c>
      <c r="E1322">
        <v>57.901346907023111</v>
      </c>
    </row>
    <row r="1323" spans="3:5" x14ac:dyDescent="0.25">
      <c r="C1323" s="31">
        <f t="shared" ca="1" si="45"/>
        <v>65.877333627495233</v>
      </c>
      <c r="E1323">
        <v>48.719948274822514</v>
      </c>
    </row>
    <row r="1324" spans="3:5" x14ac:dyDescent="0.25">
      <c r="C1324" s="31">
        <f t="shared" ca="1" si="45"/>
        <v>63.500000041089841</v>
      </c>
      <c r="E1324">
        <v>65.363220179627604</v>
      </c>
    </row>
    <row r="1325" spans="3:5" x14ac:dyDescent="0.25">
      <c r="C1325" s="31">
        <f t="shared" ca="1" si="45"/>
        <v>45.849915796768677</v>
      </c>
      <c r="E1325">
        <v>41.889751799953501</v>
      </c>
    </row>
    <row r="1326" spans="3:5" x14ac:dyDescent="0.25">
      <c r="C1326" s="31">
        <f t="shared" ca="1" si="45"/>
        <v>54.573138982242469</v>
      </c>
      <c r="E1326">
        <v>63.116250681088964</v>
      </c>
    </row>
    <row r="1327" spans="3:5" x14ac:dyDescent="0.25">
      <c r="C1327" s="31">
        <f t="shared" ca="1" si="45"/>
        <v>43.621833139660779</v>
      </c>
      <c r="E1327">
        <v>60.111069006993134</v>
      </c>
    </row>
    <row r="1328" spans="3:5" x14ac:dyDescent="0.25">
      <c r="C1328" s="31">
        <f t="shared" ca="1" si="45"/>
        <v>70.902694894402146</v>
      </c>
      <c r="E1328">
        <v>78.799900415300158</v>
      </c>
    </row>
    <row r="1329" spans="3:5" x14ac:dyDescent="0.25">
      <c r="C1329" s="31">
        <f t="shared" ca="1" si="45"/>
        <v>56.079449445859836</v>
      </c>
      <c r="E1329">
        <v>84.707926693974372</v>
      </c>
    </row>
    <row r="1330" spans="3:5" x14ac:dyDescent="0.25">
      <c r="C1330" s="31">
        <f t="shared" ca="1" si="45"/>
        <v>90.609637795483366</v>
      </c>
      <c r="E1330">
        <v>58.203867752789826</v>
      </c>
    </row>
    <row r="1331" spans="3:5" x14ac:dyDescent="0.25">
      <c r="C1331" s="31">
        <f t="shared" ca="1" si="45"/>
        <v>55.292819622410761</v>
      </c>
      <c r="E1331">
        <v>47.479093013136421</v>
      </c>
    </row>
    <row r="1332" spans="3:5" x14ac:dyDescent="0.25">
      <c r="C1332" s="31">
        <f t="shared" ca="1" si="45"/>
        <v>58.347069327361829</v>
      </c>
      <c r="E1332">
        <v>62.69786372931496</v>
      </c>
    </row>
    <row r="1333" spans="3:5" x14ac:dyDescent="0.25">
      <c r="C1333" s="31">
        <f t="shared" ca="1" si="45"/>
        <v>36.495196438209035</v>
      </c>
      <c r="E1333">
        <v>62.647401686814689</v>
      </c>
    </row>
    <row r="1334" spans="3:5" x14ac:dyDescent="0.25">
      <c r="C1334" s="31">
        <f t="shared" ca="1" si="45"/>
        <v>64.958926362401257</v>
      </c>
      <c r="E1334">
        <v>67.19991244902711</v>
      </c>
    </row>
    <row r="1335" spans="3:5" x14ac:dyDescent="0.25">
      <c r="C1335" s="31">
        <f t="shared" ca="1" si="45"/>
        <v>40.761637542372554</v>
      </c>
      <c r="E1335">
        <v>60.948265151902092</v>
      </c>
    </row>
    <row r="1336" spans="3:5" x14ac:dyDescent="0.25">
      <c r="C1336" s="31">
        <f t="shared" ca="1" si="45"/>
        <v>51.102331274832402</v>
      </c>
      <c r="E1336">
        <v>61.230399379406819</v>
      </c>
    </row>
    <row r="1337" spans="3:5" x14ac:dyDescent="0.25">
      <c r="C1337" s="31">
        <f t="shared" ca="1" si="45"/>
        <v>44.07711735390113</v>
      </c>
      <c r="E1337">
        <v>57.756758839673921</v>
      </c>
    </row>
    <row r="1338" spans="3:5" x14ac:dyDescent="0.25">
      <c r="C1338" s="31">
        <f t="shared" ca="1" si="45"/>
        <v>84.306619847273311</v>
      </c>
      <c r="E1338">
        <v>53.804797833656025</v>
      </c>
    </row>
    <row r="1339" spans="3:5" x14ac:dyDescent="0.25">
      <c r="C1339" s="31">
        <f t="shared" ca="1" si="45"/>
        <v>56.825215073539454</v>
      </c>
      <c r="E1339">
        <v>73.097896451077261</v>
      </c>
    </row>
    <row r="1340" spans="3:5" x14ac:dyDescent="0.25">
      <c r="C1340" s="31">
        <f t="shared" ca="1" si="45"/>
        <v>44.832960296862005</v>
      </c>
      <c r="E1340">
        <v>69.413996347763629</v>
      </c>
    </row>
    <row r="1341" spans="3:5" x14ac:dyDescent="0.25">
      <c r="C1341" s="31">
        <f t="shared" ca="1" si="45"/>
        <v>60.455664413658454</v>
      </c>
      <c r="E1341">
        <v>51.493718370651948</v>
      </c>
    </row>
    <row r="1342" spans="3:5" x14ac:dyDescent="0.25">
      <c r="C1342" s="31">
        <f t="shared" ref="C1342:C1405" ca="1" si="46">_xlfn.NORM.INV(RAND(),C$4,C$5)</f>
        <v>55.620738551531304</v>
      </c>
      <c r="E1342">
        <v>69.466631762992677</v>
      </c>
    </row>
    <row r="1343" spans="3:5" x14ac:dyDescent="0.25">
      <c r="C1343" s="31">
        <f t="shared" ca="1" si="46"/>
        <v>68.565993206401032</v>
      </c>
      <c r="E1343">
        <v>69.761467168784321</v>
      </c>
    </row>
    <row r="1344" spans="3:5" x14ac:dyDescent="0.25">
      <c r="C1344" s="31">
        <f t="shared" ca="1" si="46"/>
        <v>51.063709321647082</v>
      </c>
      <c r="E1344">
        <v>77.060790824412848</v>
      </c>
    </row>
    <row r="1345" spans="3:5" x14ac:dyDescent="0.25">
      <c r="C1345" s="31">
        <f t="shared" ca="1" si="46"/>
        <v>57.183402094937975</v>
      </c>
      <c r="E1345">
        <v>63.315906701038777</v>
      </c>
    </row>
    <row r="1346" spans="3:5" x14ac:dyDescent="0.25">
      <c r="C1346" s="31">
        <f t="shared" ca="1" si="46"/>
        <v>61.687380517667329</v>
      </c>
      <c r="E1346">
        <v>55.499850360509654</v>
      </c>
    </row>
    <row r="1347" spans="3:5" x14ac:dyDescent="0.25">
      <c r="C1347" s="31">
        <f t="shared" ca="1" si="46"/>
        <v>67.925432994094692</v>
      </c>
      <c r="E1347">
        <v>58.06654773279076</v>
      </c>
    </row>
    <row r="1348" spans="3:5" x14ac:dyDescent="0.25">
      <c r="C1348" s="31">
        <f t="shared" ca="1" si="46"/>
        <v>56.943687480205234</v>
      </c>
      <c r="E1348">
        <v>58.250970969009565</v>
      </c>
    </row>
    <row r="1349" spans="3:5" x14ac:dyDescent="0.25">
      <c r="C1349" s="31">
        <f t="shared" ca="1" si="46"/>
        <v>65.194772971121125</v>
      </c>
      <c r="E1349">
        <v>74.637030598880358</v>
      </c>
    </row>
    <row r="1350" spans="3:5" x14ac:dyDescent="0.25">
      <c r="C1350" s="31">
        <f t="shared" ca="1" si="46"/>
        <v>63.607887551276463</v>
      </c>
      <c r="E1350">
        <v>49.673734546677707</v>
      </c>
    </row>
    <row r="1351" spans="3:5" x14ac:dyDescent="0.25">
      <c r="C1351" s="31">
        <f t="shared" ca="1" si="46"/>
        <v>80.312840793716248</v>
      </c>
      <c r="E1351">
        <v>68.299223186838177</v>
      </c>
    </row>
    <row r="1352" spans="3:5" x14ac:dyDescent="0.25">
      <c r="C1352" s="31">
        <f t="shared" ca="1" si="46"/>
        <v>43.730740568723768</v>
      </c>
      <c r="E1352">
        <v>62.911451965743524</v>
      </c>
    </row>
    <row r="1353" spans="3:5" x14ac:dyDescent="0.25">
      <c r="C1353" s="31">
        <f t="shared" ca="1" si="46"/>
        <v>58.639520924480351</v>
      </c>
      <c r="E1353">
        <v>64.873960843064239</v>
      </c>
    </row>
    <row r="1354" spans="3:5" x14ac:dyDescent="0.25">
      <c r="C1354" s="31">
        <f t="shared" ca="1" si="46"/>
        <v>66.069781799464508</v>
      </c>
      <c r="E1354">
        <v>65.550747374922736</v>
      </c>
    </row>
    <row r="1355" spans="3:5" x14ac:dyDescent="0.25">
      <c r="C1355" s="31">
        <f t="shared" ca="1" si="46"/>
        <v>64.314796549789421</v>
      </c>
      <c r="E1355">
        <v>51.210739335962401</v>
      </c>
    </row>
    <row r="1356" spans="3:5" x14ac:dyDescent="0.25">
      <c r="C1356" s="31">
        <f t="shared" ca="1" si="46"/>
        <v>68.604299550932737</v>
      </c>
      <c r="E1356">
        <v>62.028300549581942</v>
      </c>
    </row>
    <row r="1357" spans="3:5" x14ac:dyDescent="0.25">
      <c r="C1357" s="31">
        <f t="shared" ca="1" si="46"/>
        <v>54.932136871977406</v>
      </c>
      <c r="E1357">
        <v>72.250676930433016</v>
      </c>
    </row>
    <row r="1358" spans="3:5" x14ac:dyDescent="0.25">
      <c r="C1358" s="31">
        <f t="shared" ca="1" si="46"/>
        <v>74.206923851563928</v>
      </c>
      <c r="E1358">
        <v>49.113048176512933</v>
      </c>
    </row>
    <row r="1359" spans="3:5" x14ac:dyDescent="0.25">
      <c r="C1359" s="31">
        <f t="shared" ca="1" si="46"/>
        <v>53.02120558331211</v>
      </c>
      <c r="E1359">
        <v>69.867854410748933</v>
      </c>
    </row>
    <row r="1360" spans="3:5" x14ac:dyDescent="0.25">
      <c r="C1360" s="31">
        <f t="shared" ca="1" si="46"/>
        <v>49.722478408936283</v>
      </c>
      <c r="E1360">
        <v>80.341073334615118</v>
      </c>
    </row>
    <row r="1361" spans="3:5" x14ac:dyDescent="0.25">
      <c r="C1361" s="31">
        <f t="shared" ca="1" si="46"/>
        <v>64.775105557619938</v>
      </c>
      <c r="E1361">
        <v>70.901522018832026</v>
      </c>
    </row>
    <row r="1362" spans="3:5" x14ac:dyDescent="0.25">
      <c r="C1362" s="31">
        <f t="shared" ca="1" si="46"/>
        <v>55.224710048786896</v>
      </c>
      <c r="E1362">
        <v>58.941646122530429</v>
      </c>
    </row>
    <row r="1363" spans="3:5" x14ac:dyDescent="0.25">
      <c r="C1363" s="31">
        <f t="shared" ca="1" si="46"/>
        <v>56.26101072133968</v>
      </c>
      <c r="E1363">
        <v>48.23764029136337</v>
      </c>
    </row>
    <row r="1364" spans="3:5" x14ac:dyDescent="0.25">
      <c r="C1364" s="31">
        <f t="shared" ca="1" si="46"/>
        <v>65.954808028439928</v>
      </c>
      <c r="E1364">
        <v>54.222994103806109</v>
      </c>
    </row>
    <row r="1365" spans="3:5" x14ac:dyDescent="0.25">
      <c r="C1365" s="31">
        <f t="shared" ca="1" si="46"/>
        <v>52.885867735778604</v>
      </c>
      <c r="E1365">
        <v>79.035250102770192</v>
      </c>
    </row>
    <row r="1366" spans="3:5" x14ac:dyDescent="0.25">
      <c r="C1366" s="31">
        <f t="shared" ca="1" si="46"/>
        <v>70.221237499589805</v>
      </c>
      <c r="E1366">
        <v>46.110041717313948</v>
      </c>
    </row>
    <row r="1367" spans="3:5" x14ac:dyDescent="0.25">
      <c r="C1367" s="31">
        <f t="shared" ca="1" si="46"/>
        <v>40.247262642923985</v>
      </c>
      <c r="E1367">
        <v>67.453966795589011</v>
      </c>
    </row>
    <row r="1368" spans="3:5" x14ac:dyDescent="0.25">
      <c r="C1368" s="31">
        <f t="shared" ca="1" si="46"/>
        <v>74.66977338145179</v>
      </c>
      <c r="E1368">
        <v>71.780718617180824</v>
      </c>
    </row>
    <row r="1369" spans="3:5" x14ac:dyDescent="0.25">
      <c r="C1369" s="31">
        <f t="shared" ca="1" si="46"/>
        <v>44.100976732215656</v>
      </c>
      <c r="E1369">
        <v>50.278844978509973</v>
      </c>
    </row>
    <row r="1370" spans="3:5" x14ac:dyDescent="0.25">
      <c r="C1370" s="31">
        <f t="shared" ca="1" si="46"/>
        <v>53.648637001800111</v>
      </c>
      <c r="E1370">
        <v>72.476187254632976</v>
      </c>
    </row>
    <row r="1371" spans="3:5" x14ac:dyDescent="0.25">
      <c r="C1371" s="31">
        <f t="shared" ca="1" si="46"/>
        <v>52.561120442468365</v>
      </c>
      <c r="E1371">
        <v>63.062782606935656</v>
      </c>
    </row>
    <row r="1372" spans="3:5" x14ac:dyDescent="0.25">
      <c r="C1372" s="31">
        <f t="shared" ca="1" si="46"/>
        <v>34.6648143611691</v>
      </c>
      <c r="E1372">
        <v>74.905020002130897</v>
      </c>
    </row>
    <row r="1373" spans="3:5" x14ac:dyDescent="0.25">
      <c r="C1373" s="31">
        <f t="shared" ca="1" si="46"/>
        <v>64.397854944948705</v>
      </c>
      <c r="E1373">
        <v>54.932089656592488</v>
      </c>
    </row>
    <row r="1374" spans="3:5" x14ac:dyDescent="0.25">
      <c r="C1374" s="31">
        <f t="shared" ca="1" si="46"/>
        <v>47.174141139034703</v>
      </c>
      <c r="E1374">
        <v>62.749039939619642</v>
      </c>
    </row>
    <row r="1375" spans="3:5" x14ac:dyDescent="0.25">
      <c r="C1375" s="31">
        <f t="shared" ca="1" si="46"/>
        <v>74.328951615797138</v>
      </c>
      <c r="E1375">
        <v>64.64052602320163</v>
      </c>
    </row>
    <row r="1376" spans="3:5" x14ac:dyDescent="0.25">
      <c r="C1376" s="31">
        <f t="shared" ca="1" si="46"/>
        <v>66.220421884798697</v>
      </c>
      <c r="E1376">
        <v>59.834645795453426</v>
      </c>
    </row>
    <row r="1377" spans="3:5" x14ac:dyDescent="0.25">
      <c r="C1377" s="31">
        <f t="shared" ca="1" si="46"/>
        <v>48.26442403744992</v>
      </c>
      <c r="E1377">
        <v>31.771150939318289</v>
      </c>
    </row>
    <row r="1378" spans="3:5" x14ac:dyDescent="0.25">
      <c r="C1378" s="31">
        <f t="shared" ca="1" si="46"/>
        <v>53.839296257072888</v>
      </c>
      <c r="E1378">
        <v>70.821408300801053</v>
      </c>
    </row>
    <row r="1379" spans="3:5" x14ac:dyDescent="0.25">
      <c r="C1379" s="31">
        <f t="shared" ca="1" si="46"/>
        <v>63.79049970366782</v>
      </c>
      <c r="E1379">
        <v>64.230596159996225</v>
      </c>
    </row>
    <row r="1380" spans="3:5" x14ac:dyDescent="0.25">
      <c r="C1380" s="31">
        <f t="shared" ca="1" si="46"/>
        <v>50.760425374685198</v>
      </c>
      <c r="E1380">
        <v>46.496721387679571</v>
      </c>
    </row>
    <row r="1381" spans="3:5" x14ac:dyDescent="0.25">
      <c r="C1381" s="31">
        <f t="shared" ca="1" si="46"/>
        <v>71.98072983310503</v>
      </c>
      <c r="E1381">
        <v>57.682206706203033</v>
      </c>
    </row>
    <row r="1382" spans="3:5" x14ac:dyDescent="0.25">
      <c r="C1382" s="31">
        <f t="shared" ca="1" si="46"/>
        <v>58.133748285819941</v>
      </c>
      <c r="E1382">
        <v>57.62264429888409</v>
      </c>
    </row>
    <row r="1383" spans="3:5" x14ac:dyDescent="0.25">
      <c r="C1383" s="31">
        <f t="shared" ca="1" si="46"/>
        <v>68.078940936454387</v>
      </c>
      <c r="E1383">
        <v>58.159631719912973</v>
      </c>
    </row>
    <row r="1384" spans="3:5" x14ac:dyDescent="0.25">
      <c r="C1384" s="31">
        <f t="shared" ca="1" si="46"/>
        <v>50.812373296836284</v>
      </c>
      <c r="E1384">
        <v>75.104434097698913</v>
      </c>
    </row>
    <row r="1385" spans="3:5" x14ac:dyDescent="0.25">
      <c r="C1385" s="31">
        <f t="shared" ca="1" si="46"/>
        <v>49.309912098041295</v>
      </c>
      <c r="E1385">
        <v>66.380322109017456</v>
      </c>
    </row>
    <row r="1386" spans="3:5" x14ac:dyDescent="0.25">
      <c r="C1386" s="31">
        <f t="shared" ca="1" si="46"/>
        <v>47.14529677648477</v>
      </c>
      <c r="E1386">
        <v>58.691167425248082</v>
      </c>
    </row>
    <row r="1387" spans="3:5" x14ac:dyDescent="0.25">
      <c r="C1387" s="31">
        <f t="shared" ca="1" si="46"/>
        <v>66.859173536434128</v>
      </c>
      <c r="E1387">
        <v>56.519147370063344</v>
      </c>
    </row>
    <row r="1388" spans="3:5" x14ac:dyDescent="0.25">
      <c r="C1388" s="31">
        <f t="shared" ca="1" si="46"/>
        <v>66.101331091790968</v>
      </c>
      <c r="E1388">
        <v>61.340237647935666</v>
      </c>
    </row>
    <row r="1389" spans="3:5" x14ac:dyDescent="0.25">
      <c r="C1389" s="31">
        <f t="shared" ca="1" si="46"/>
        <v>56.026747007468373</v>
      </c>
      <c r="E1389">
        <v>68.652844797602683</v>
      </c>
    </row>
    <row r="1390" spans="3:5" x14ac:dyDescent="0.25">
      <c r="C1390" s="31">
        <f t="shared" ca="1" si="46"/>
        <v>55.849361793214172</v>
      </c>
      <c r="E1390">
        <v>76.971318328796158</v>
      </c>
    </row>
    <row r="1391" spans="3:5" x14ac:dyDescent="0.25">
      <c r="C1391" s="31">
        <f t="shared" ca="1" si="46"/>
        <v>49.263318948429422</v>
      </c>
      <c r="E1391">
        <v>60.879287875762465</v>
      </c>
    </row>
    <row r="1392" spans="3:5" x14ac:dyDescent="0.25">
      <c r="C1392" s="31">
        <f t="shared" ca="1" si="46"/>
        <v>59.139797576356457</v>
      </c>
      <c r="E1392">
        <v>68.87230968208894</v>
      </c>
    </row>
    <row r="1393" spans="3:5" x14ac:dyDescent="0.25">
      <c r="C1393" s="31">
        <f t="shared" ca="1" si="46"/>
        <v>69.329065422322955</v>
      </c>
      <c r="E1393">
        <v>46.292259215244741</v>
      </c>
    </row>
    <row r="1394" spans="3:5" x14ac:dyDescent="0.25">
      <c r="C1394" s="31">
        <f t="shared" ca="1" si="46"/>
        <v>68.21738501212289</v>
      </c>
      <c r="E1394">
        <v>65.700244367888331</v>
      </c>
    </row>
    <row r="1395" spans="3:5" x14ac:dyDescent="0.25">
      <c r="C1395" s="31">
        <f t="shared" ca="1" si="46"/>
        <v>79.547859527672614</v>
      </c>
      <c r="E1395">
        <v>47.291680121516215</v>
      </c>
    </row>
    <row r="1396" spans="3:5" x14ac:dyDescent="0.25">
      <c r="C1396" s="31">
        <f t="shared" ca="1" si="46"/>
        <v>67.931219426984882</v>
      </c>
      <c r="E1396">
        <v>66.796211320418749</v>
      </c>
    </row>
    <row r="1397" spans="3:5" x14ac:dyDescent="0.25">
      <c r="C1397" s="31">
        <f t="shared" ca="1" si="46"/>
        <v>70.323266948361876</v>
      </c>
      <c r="E1397">
        <v>56.6347525381086</v>
      </c>
    </row>
    <row r="1398" spans="3:5" x14ac:dyDescent="0.25">
      <c r="C1398" s="31">
        <f t="shared" ca="1" si="46"/>
        <v>77.131143555620952</v>
      </c>
      <c r="E1398">
        <v>79.416832047454392</v>
      </c>
    </row>
    <row r="1399" spans="3:5" x14ac:dyDescent="0.25">
      <c r="C1399" s="31">
        <f t="shared" ca="1" si="46"/>
        <v>57.766678405502937</v>
      </c>
      <c r="E1399">
        <v>60.09475376296669</v>
      </c>
    </row>
    <row r="1400" spans="3:5" x14ac:dyDescent="0.25">
      <c r="C1400" s="31">
        <f t="shared" ca="1" si="46"/>
        <v>56.716614884230232</v>
      </c>
      <c r="E1400">
        <v>47.74427594216079</v>
      </c>
    </row>
    <row r="1401" spans="3:5" x14ac:dyDescent="0.25">
      <c r="C1401" s="31">
        <f t="shared" ca="1" si="46"/>
        <v>63.465476165540743</v>
      </c>
      <c r="E1401">
        <v>66.754073632829488</v>
      </c>
    </row>
    <row r="1402" spans="3:5" x14ac:dyDescent="0.25">
      <c r="C1402" s="31">
        <f t="shared" ca="1" si="46"/>
        <v>78.417724152928812</v>
      </c>
      <c r="E1402">
        <v>61.442313362092726</v>
      </c>
    </row>
    <row r="1403" spans="3:5" x14ac:dyDescent="0.25">
      <c r="C1403" s="31">
        <f t="shared" ca="1" si="46"/>
        <v>57.564733560944774</v>
      </c>
      <c r="E1403">
        <v>66.6214641592845</v>
      </c>
    </row>
    <row r="1404" spans="3:5" x14ac:dyDescent="0.25">
      <c r="C1404" s="31">
        <f t="shared" ca="1" si="46"/>
        <v>56.837630626276649</v>
      </c>
      <c r="E1404">
        <v>65.476509720327243</v>
      </c>
    </row>
    <row r="1405" spans="3:5" x14ac:dyDescent="0.25">
      <c r="C1405" s="31">
        <f t="shared" ca="1" si="46"/>
        <v>60.751120661801401</v>
      </c>
      <c r="E1405">
        <v>51.057922707410768</v>
      </c>
    </row>
    <row r="1406" spans="3:5" x14ac:dyDescent="0.25">
      <c r="C1406" s="31">
        <f t="shared" ref="C1406:C1424" ca="1" si="47">_xlfn.NORM.INV(RAND(),C$4,C$5)</f>
        <v>61.966677851878202</v>
      </c>
      <c r="E1406">
        <v>60.344608570721192</v>
      </c>
    </row>
    <row r="1407" spans="3:5" x14ac:dyDescent="0.25">
      <c r="C1407" s="31">
        <f t="shared" ca="1" si="47"/>
        <v>47.457269311399713</v>
      </c>
      <c r="E1407">
        <v>62.84323063598157</v>
      </c>
    </row>
    <row r="1408" spans="3:5" x14ac:dyDescent="0.25">
      <c r="C1408" s="31">
        <f t="shared" ca="1" si="47"/>
        <v>58.444073110595227</v>
      </c>
      <c r="E1408">
        <v>68.520647424855184</v>
      </c>
    </row>
    <row r="1409" spans="3:5" x14ac:dyDescent="0.25">
      <c r="C1409" s="31">
        <f t="shared" ca="1" si="47"/>
        <v>53.171292090725672</v>
      </c>
      <c r="E1409">
        <v>44.691681660945932</v>
      </c>
    </row>
    <row r="1410" spans="3:5" x14ac:dyDescent="0.25">
      <c r="C1410" s="31">
        <f t="shared" ca="1" si="47"/>
        <v>56.944987683780781</v>
      </c>
      <c r="E1410">
        <v>58.247831478323818</v>
      </c>
    </row>
    <row r="1411" spans="3:5" x14ac:dyDescent="0.25">
      <c r="C1411" s="31">
        <f t="shared" ca="1" si="47"/>
        <v>47.378201787424864</v>
      </c>
      <c r="E1411">
        <v>67.154854514880455</v>
      </c>
    </row>
    <row r="1412" spans="3:5" x14ac:dyDescent="0.25">
      <c r="C1412" s="31">
        <f t="shared" ca="1" si="47"/>
        <v>49.818229485004871</v>
      </c>
      <c r="E1412">
        <v>34.563431396777744</v>
      </c>
    </row>
    <row r="1413" spans="3:5" x14ac:dyDescent="0.25">
      <c r="C1413" s="31">
        <f t="shared" ca="1" si="47"/>
        <v>64.472499262058037</v>
      </c>
      <c r="E1413">
        <v>81.356330998190685</v>
      </c>
    </row>
    <row r="1414" spans="3:5" x14ac:dyDescent="0.25">
      <c r="C1414" s="31">
        <f t="shared" ca="1" si="47"/>
        <v>72.581990974096058</v>
      </c>
      <c r="E1414">
        <v>67.930564887253652</v>
      </c>
    </row>
    <row r="1415" spans="3:5" x14ac:dyDescent="0.25">
      <c r="C1415" s="31">
        <f t="shared" ca="1" si="47"/>
        <v>63.851485775873506</v>
      </c>
      <c r="E1415">
        <v>57.840126151058008</v>
      </c>
    </row>
    <row r="1416" spans="3:5" x14ac:dyDescent="0.25">
      <c r="C1416" s="31">
        <f t="shared" ca="1" si="47"/>
        <v>80.710172636170057</v>
      </c>
      <c r="E1416">
        <v>56.579528894471181</v>
      </c>
    </row>
    <row r="1417" spans="3:5" x14ac:dyDescent="0.25">
      <c r="C1417" s="31">
        <f t="shared" ca="1" si="47"/>
        <v>63.039646962009094</v>
      </c>
      <c r="E1417">
        <v>60.558605056359276</v>
      </c>
    </row>
    <row r="1418" spans="3:5" x14ac:dyDescent="0.25">
      <c r="C1418" s="31">
        <f t="shared" ca="1" si="47"/>
        <v>72.704234435932989</v>
      </c>
      <c r="E1418">
        <v>65.654748387475635</v>
      </c>
    </row>
    <row r="1419" spans="3:5" x14ac:dyDescent="0.25">
      <c r="C1419" s="31">
        <f t="shared" ca="1" si="47"/>
        <v>53.38299260114168</v>
      </c>
      <c r="E1419">
        <v>56.103949004229342</v>
      </c>
    </row>
    <row r="1420" spans="3:5" x14ac:dyDescent="0.25">
      <c r="C1420" s="31">
        <f t="shared" ca="1" si="47"/>
        <v>67.941416742857683</v>
      </c>
      <c r="E1420">
        <v>51.713776928662185</v>
      </c>
    </row>
    <row r="1421" spans="3:5" x14ac:dyDescent="0.25">
      <c r="C1421" s="31">
        <f t="shared" ca="1" si="47"/>
        <v>61.056536241509555</v>
      </c>
      <c r="E1421">
        <v>54.015288875857962</v>
      </c>
    </row>
    <row r="1422" spans="3:5" x14ac:dyDescent="0.25">
      <c r="C1422" s="31">
        <f t="shared" ca="1" si="47"/>
        <v>58.800377245106851</v>
      </c>
      <c r="E1422">
        <v>67.899327580146888</v>
      </c>
    </row>
    <row r="1423" spans="3:5" x14ac:dyDescent="0.25">
      <c r="C1423" s="31">
        <f t="shared" ca="1" si="47"/>
        <v>63.206874495374407</v>
      </c>
      <c r="E1423">
        <v>76.169973498471535</v>
      </c>
    </row>
    <row r="1424" spans="3:5" x14ac:dyDescent="0.25">
      <c r="C1424" s="31">
        <f t="shared" ca="1" si="47"/>
        <v>69.530614215264038</v>
      </c>
      <c r="E1424">
        <v>56.808119504839276</v>
      </c>
    </row>
  </sheetData>
  <mergeCells count="5">
    <mergeCell ref="J4:K4"/>
    <mergeCell ref="L4:M4"/>
    <mergeCell ref="C12:D13"/>
    <mergeCell ref="E12:F13"/>
    <mergeCell ref="H4:I4"/>
  </mergeCells>
  <conditionalFormatting sqref="O7:AT9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:AT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:AT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Scroll Bar 1">
              <controlPr defaultSize="0" autoPict="0">
                <anchor moveWithCells="1">
                  <from>
                    <xdr:col>9</xdr:col>
                    <xdr:colOff>123825</xdr:colOff>
                    <xdr:row>8</xdr:row>
                    <xdr:rowOff>133350</xdr:rowOff>
                  </from>
                  <to>
                    <xdr:col>9</xdr:col>
                    <xdr:colOff>542925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Scroll Bar 2">
              <controlPr defaultSize="0" autoPict="0">
                <anchor moveWithCells="1">
                  <from>
                    <xdr:col>10</xdr:col>
                    <xdr:colOff>95250</xdr:colOff>
                    <xdr:row>8</xdr:row>
                    <xdr:rowOff>133350</xdr:rowOff>
                  </from>
                  <to>
                    <xdr:col>10</xdr:col>
                    <xdr:colOff>514350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Scroll Bar 3">
              <controlPr defaultSize="0" autoPict="0">
                <anchor moveWithCells="1">
                  <from>
                    <xdr:col>11</xdr:col>
                    <xdr:colOff>133350</xdr:colOff>
                    <xdr:row>8</xdr:row>
                    <xdr:rowOff>133350</xdr:rowOff>
                  </from>
                  <to>
                    <xdr:col>11</xdr:col>
                    <xdr:colOff>552450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Scroll Bar 4">
              <controlPr defaultSize="0" autoPict="0">
                <anchor moveWithCells="1">
                  <from>
                    <xdr:col>12</xdr:col>
                    <xdr:colOff>123825</xdr:colOff>
                    <xdr:row>8</xdr:row>
                    <xdr:rowOff>133350</xdr:rowOff>
                  </from>
                  <to>
                    <xdr:col>12</xdr:col>
                    <xdr:colOff>542925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Scroll Bar 5">
              <controlPr defaultSize="0" autoPict="0">
                <anchor moveWithCells="1">
                  <from>
                    <xdr:col>7</xdr:col>
                    <xdr:colOff>647700</xdr:colOff>
                    <xdr:row>8</xdr:row>
                    <xdr:rowOff>123825</xdr:rowOff>
                  </from>
                  <to>
                    <xdr:col>8</xdr:col>
                    <xdr:colOff>209550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S536"/>
  <sheetViews>
    <sheetView showGridLines="0" tabSelected="1" topLeftCell="A4" zoomScale="120" zoomScaleNormal="120" workbookViewId="0">
      <selection activeCell="Q23" sqref="Q23"/>
    </sheetView>
  </sheetViews>
  <sheetFormatPr defaultRowHeight="15" x14ac:dyDescent="0.25"/>
  <cols>
    <col min="1" max="2" width="10.7109375" customWidth="1"/>
    <col min="3" max="4" width="13.28515625" customWidth="1"/>
    <col min="5" max="6" width="15.7109375" customWidth="1"/>
    <col min="7" max="7" width="12.85546875" bestFit="1" customWidth="1"/>
    <col min="9" max="9" width="13.85546875" bestFit="1" customWidth="1"/>
    <col min="19" max="19" width="12" bestFit="1" customWidth="1"/>
  </cols>
  <sheetData>
    <row r="1" spans="1:13" thickBot="1" x14ac:dyDescent="0.35">
      <c r="B1" s="5"/>
      <c r="C1" s="73"/>
      <c r="D1" s="73"/>
      <c r="J1">
        <v>1</v>
      </c>
      <c r="K1">
        <v>1</v>
      </c>
      <c r="L1">
        <v>1</v>
      </c>
      <c r="M1">
        <v>1</v>
      </c>
    </row>
    <row r="2" spans="1:13" ht="39" customHeight="1" thickBot="1" x14ac:dyDescent="0.35">
      <c r="C2" s="176" t="s">
        <v>54</v>
      </c>
      <c r="D2" s="177"/>
      <c r="E2" s="176" t="s">
        <v>49</v>
      </c>
      <c r="F2" s="177"/>
    </row>
    <row r="3" spans="1:13" x14ac:dyDescent="0.25">
      <c r="A3" s="34" t="s">
        <v>46</v>
      </c>
      <c r="B3" s="35" t="s">
        <v>47</v>
      </c>
      <c r="C3" s="26" t="s">
        <v>68</v>
      </c>
      <c r="D3" s="74" t="s">
        <v>69</v>
      </c>
      <c r="E3" s="63" t="s">
        <v>66</v>
      </c>
      <c r="F3" s="63" t="s">
        <v>67</v>
      </c>
    </row>
    <row r="4" spans="1:13" ht="14.45" x14ac:dyDescent="0.3">
      <c r="A4" s="87">
        <v>0</v>
      </c>
      <c r="B4" s="88">
        <v>2</v>
      </c>
      <c r="C4" s="111">
        <f t="shared" ref="C4:C16" si="0">_xlfn.NORM.DIST(B4,C$45,C$46,FALSE)</f>
        <v>1.7587495425951039E-70</v>
      </c>
      <c r="D4" s="112">
        <f t="shared" ref="D4:D16" si="1">_xlfn.NORM.DIST(B4,D$45,D$46,FALSE)</f>
        <v>1.7587495425951039E-70</v>
      </c>
      <c r="E4" s="39">
        <f t="shared" ref="E4:E16" si="2">(C4*C$47)/((C4*C$47)+(D4*D$47))</f>
        <v>0.01</v>
      </c>
      <c r="F4" s="37">
        <f>1-E4</f>
        <v>0.99</v>
      </c>
    </row>
    <row r="5" spans="1:13" ht="14.45" x14ac:dyDescent="0.3">
      <c r="A5" s="87">
        <v>0</v>
      </c>
      <c r="B5" s="88">
        <v>3</v>
      </c>
      <c r="C5" s="111">
        <f t="shared" si="0"/>
        <v>2.2775774787369201E-170</v>
      </c>
      <c r="D5" s="112">
        <f t="shared" si="1"/>
        <v>2.2775774787369201E-170</v>
      </c>
      <c r="E5" s="39">
        <f t="shared" si="2"/>
        <v>0.01</v>
      </c>
      <c r="F5" s="37">
        <f t="shared" ref="F5:F16" si="3">1-E5</f>
        <v>0.99</v>
      </c>
    </row>
    <row r="6" spans="1:13" ht="14.45" x14ac:dyDescent="0.3">
      <c r="A6" s="87">
        <v>0</v>
      </c>
      <c r="B6" s="88">
        <v>4</v>
      </c>
      <c r="C6" s="111">
        <f t="shared" si="0"/>
        <v>0</v>
      </c>
      <c r="D6" s="112">
        <f t="shared" si="1"/>
        <v>0</v>
      </c>
      <c r="E6" s="39" t="e">
        <f t="shared" si="2"/>
        <v>#DIV/0!</v>
      </c>
      <c r="F6" s="37" t="e">
        <f t="shared" si="3"/>
        <v>#DIV/0!</v>
      </c>
    </row>
    <row r="7" spans="1:13" ht="14.45" x14ac:dyDescent="0.3">
      <c r="A7" s="87">
        <v>0</v>
      </c>
      <c r="B7" s="88">
        <v>7</v>
      </c>
      <c r="C7" s="111">
        <f t="shared" si="0"/>
        <v>0</v>
      </c>
      <c r="D7" s="112">
        <f t="shared" si="1"/>
        <v>0</v>
      </c>
      <c r="E7" s="39" t="e">
        <f t="shared" si="2"/>
        <v>#DIV/0!</v>
      </c>
      <c r="F7" s="37" t="e">
        <f t="shared" si="3"/>
        <v>#DIV/0!</v>
      </c>
    </row>
    <row r="8" spans="1:13" ht="14.45" x14ac:dyDescent="0.3">
      <c r="A8" s="87">
        <v>0</v>
      </c>
      <c r="B8" s="88">
        <v>15</v>
      </c>
      <c r="C8" s="111">
        <f t="shared" si="0"/>
        <v>0</v>
      </c>
      <c r="D8" s="112">
        <f t="shared" si="1"/>
        <v>0</v>
      </c>
      <c r="E8" s="39" t="e">
        <f t="shared" si="2"/>
        <v>#DIV/0!</v>
      </c>
      <c r="F8" s="37" t="e">
        <f t="shared" si="3"/>
        <v>#DIV/0!</v>
      </c>
    </row>
    <row r="9" spans="1:13" ht="14.45" x14ac:dyDescent="0.3">
      <c r="A9" s="87">
        <v>0</v>
      </c>
      <c r="B9" s="88">
        <v>16</v>
      </c>
      <c r="C9" s="111">
        <f t="shared" si="0"/>
        <v>0</v>
      </c>
      <c r="D9" s="112">
        <f t="shared" si="1"/>
        <v>0</v>
      </c>
      <c r="E9" s="39" t="e">
        <f t="shared" si="2"/>
        <v>#DIV/0!</v>
      </c>
      <c r="F9" s="37" t="e">
        <f t="shared" si="3"/>
        <v>#DIV/0!</v>
      </c>
    </row>
    <row r="10" spans="1:13" ht="14.45" x14ac:dyDescent="0.3">
      <c r="A10" s="87">
        <v>0</v>
      </c>
      <c r="B10" s="88">
        <v>17</v>
      </c>
      <c r="C10" s="111">
        <f t="shared" si="0"/>
        <v>0</v>
      </c>
      <c r="D10" s="112">
        <f t="shared" si="1"/>
        <v>0</v>
      </c>
      <c r="E10" s="39" t="e">
        <f t="shared" si="2"/>
        <v>#DIV/0!</v>
      </c>
      <c r="F10" s="37" t="e">
        <f t="shared" si="3"/>
        <v>#DIV/0!</v>
      </c>
    </row>
    <row r="11" spans="1:13" x14ac:dyDescent="0.25">
      <c r="A11" s="87">
        <v>0</v>
      </c>
      <c r="B11" s="88">
        <v>17.5</v>
      </c>
      <c r="C11" s="111">
        <f t="shared" si="0"/>
        <v>0</v>
      </c>
      <c r="D11" s="112">
        <f t="shared" si="1"/>
        <v>0</v>
      </c>
      <c r="E11" s="39" t="e">
        <f t="shared" si="2"/>
        <v>#DIV/0!</v>
      </c>
      <c r="F11" s="37" t="e">
        <f t="shared" si="3"/>
        <v>#DIV/0!</v>
      </c>
    </row>
    <row r="12" spans="1:13" x14ac:dyDescent="0.25">
      <c r="A12" s="87">
        <v>0</v>
      </c>
      <c r="B12" s="88">
        <v>18</v>
      </c>
      <c r="C12" s="111">
        <f t="shared" si="0"/>
        <v>0</v>
      </c>
      <c r="D12" s="112">
        <f t="shared" si="1"/>
        <v>0</v>
      </c>
      <c r="E12" s="193" t="e">
        <f t="shared" si="2"/>
        <v>#DIV/0!</v>
      </c>
      <c r="F12" s="194" t="e">
        <f t="shared" si="3"/>
        <v>#DIV/0!</v>
      </c>
      <c r="G12" s="195" t="e">
        <f>D12/C12</f>
        <v>#DIV/0!</v>
      </c>
    </row>
    <row r="13" spans="1:13" x14ac:dyDescent="0.25">
      <c r="A13" s="87">
        <v>0</v>
      </c>
      <c r="B13" s="88">
        <v>19</v>
      </c>
      <c r="C13" s="111">
        <f t="shared" si="0"/>
        <v>0</v>
      </c>
      <c r="D13" s="112">
        <f t="shared" si="1"/>
        <v>0</v>
      </c>
      <c r="E13" s="39" t="e">
        <f t="shared" si="2"/>
        <v>#DIV/0!</v>
      </c>
      <c r="F13" s="37" t="e">
        <f t="shared" si="3"/>
        <v>#DIV/0!</v>
      </c>
    </row>
    <row r="14" spans="1:13" ht="14.45" x14ac:dyDescent="0.3">
      <c r="A14" s="87">
        <v>0</v>
      </c>
      <c r="B14" s="88">
        <v>20</v>
      </c>
      <c r="C14" s="111">
        <f t="shared" si="0"/>
        <v>0</v>
      </c>
      <c r="D14" s="112">
        <f t="shared" si="1"/>
        <v>0</v>
      </c>
      <c r="E14" s="39" t="e">
        <f t="shared" si="2"/>
        <v>#DIV/0!</v>
      </c>
      <c r="F14" s="37" t="e">
        <f t="shared" si="3"/>
        <v>#DIV/0!</v>
      </c>
    </row>
    <row r="15" spans="1:13" ht="14.45" x14ac:dyDescent="0.3">
      <c r="A15" s="87">
        <v>0</v>
      </c>
      <c r="B15" s="88">
        <v>21</v>
      </c>
      <c r="C15" s="111">
        <f t="shared" si="0"/>
        <v>0</v>
      </c>
      <c r="D15" s="112">
        <f t="shared" si="1"/>
        <v>0</v>
      </c>
      <c r="E15" s="39" t="e">
        <f t="shared" si="2"/>
        <v>#DIV/0!</v>
      </c>
      <c r="F15" s="37" t="e">
        <f t="shared" si="3"/>
        <v>#DIV/0!</v>
      </c>
    </row>
    <row r="16" spans="1:13" thickBot="1" x14ac:dyDescent="0.35">
      <c r="A16" s="89">
        <v>0</v>
      </c>
      <c r="B16" s="90">
        <v>22</v>
      </c>
      <c r="C16" s="113">
        <f t="shared" si="0"/>
        <v>0</v>
      </c>
      <c r="D16" s="114">
        <f t="shared" si="1"/>
        <v>0</v>
      </c>
      <c r="E16" s="41" t="e">
        <f t="shared" si="2"/>
        <v>#DIV/0!</v>
      </c>
      <c r="F16" s="38" t="e">
        <f t="shared" si="3"/>
        <v>#DIV/0!</v>
      </c>
    </row>
    <row r="18" spans="2:19" thickBot="1" x14ac:dyDescent="0.35"/>
    <row r="19" spans="2:19" ht="14.45" x14ac:dyDescent="0.3">
      <c r="B19" s="178" t="s">
        <v>42</v>
      </c>
      <c r="C19" s="179"/>
      <c r="D19" s="180" t="s">
        <v>70</v>
      </c>
      <c r="E19" s="181"/>
      <c r="F19" s="182" t="s">
        <v>71</v>
      </c>
      <c r="G19" s="181"/>
    </row>
    <row r="20" spans="2:19" x14ac:dyDescent="0.25">
      <c r="B20" s="91" t="s">
        <v>19</v>
      </c>
      <c r="C20" s="92" t="s">
        <v>20</v>
      </c>
      <c r="D20" s="93" t="s">
        <v>7</v>
      </c>
      <c r="E20" s="94" t="s">
        <v>8</v>
      </c>
      <c r="F20" s="95" t="s">
        <v>7</v>
      </c>
      <c r="G20" s="94" t="s">
        <v>8</v>
      </c>
    </row>
    <row r="21" spans="2:19" ht="14.45" x14ac:dyDescent="0.3">
      <c r="B21" s="96">
        <f>C39/100</f>
        <v>0.01</v>
      </c>
      <c r="C21" s="97">
        <f>1-B21</f>
        <v>0.99</v>
      </c>
      <c r="D21" s="98">
        <f>D39/5</f>
        <v>0.2</v>
      </c>
      <c r="E21" s="99">
        <f>E39/10</f>
        <v>0.1</v>
      </c>
      <c r="F21" s="100">
        <f>F39/5</f>
        <v>0.2</v>
      </c>
      <c r="G21" s="99">
        <f>G39/10</f>
        <v>0.1</v>
      </c>
    </row>
    <row r="22" spans="2:19" ht="14.45" x14ac:dyDescent="0.3">
      <c r="B22" s="101"/>
      <c r="C22" s="102"/>
      <c r="D22" s="103"/>
      <c r="E22" s="104"/>
      <c r="F22" s="105"/>
      <c r="G22" s="102"/>
      <c r="I22">
        <v>24</v>
      </c>
    </row>
    <row r="23" spans="2:19" ht="14.45" x14ac:dyDescent="0.3">
      <c r="B23" s="101"/>
      <c r="C23" s="104"/>
      <c r="D23" s="103"/>
      <c r="E23" s="104"/>
      <c r="F23" s="105"/>
      <c r="G23" s="102"/>
    </row>
    <row r="24" spans="2:19" ht="14.45" x14ac:dyDescent="0.3">
      <c r="B24" s="101"/>
      <c r="C24" s="104"/>
      <c r="D24" s="103"/>
      <c r="E24" s="104"/>
      <c r="F24" s="105"/>
      <c r="G24" s="102"/>
    </row>
    <row r="25" spans="2:19" ht="14.45" x14ac:dyDescent="0.3">
      <c r="B25" s="101"/>
      <c r="C25" s="104"/>
      <c r="D25" s="103"/>
      <c r="E25" s="104"/>
      <c r="F25" s="105"/>
      <c r="G25" s="102"/>
    </row>
    <row r="26" spans="2:19" ht="14.45" x14ac:dyDescent="0.3">
      <c r="B26" s="101"/>
      <c r="C26" s="104"/>
      <c r="D26" s="103"/>
      <c r="E26" s="104"/>
      <c r="F26" s="105"/>
      <c r="G26" s="102"/>
    </row>
    <row r="27" spans="2:19" ht="14.45" x14ac:dyDescent="0.3">
      <c r="B27" s="101"/>
      <c r="C27" s="104"/>
      <c r="D27" s="103"/>
      <c r="E27" s="104"/>
      <c r="F27" s="105"/>
      <c r="G27" s="102"/>
      <c r="S27" t="e">
        <f>D12/C12</f>
        <v>#DIV/0!</v>
      </c>
    </row>
    <row r="28" spans="2:19" ht="14.45" x14ac:dyDescent="0.3">
      <c r="B28" s="101"/>
      <c r="C28" s="104"/>
      <c r="D28" s="103"/>
      <c r="E28" s="104"/>
      <c r="F28" s="105"/>
      <c r="G28" s="102"/>
    </row>
    <row r="29" spans="2:19" ht="14.45" x14ac:dyDescent="0.3">
      <c r="B29" s="101"/>
      <c r="C29" s="104"/>
      <c r="D29" s="103"/>
      <c r="E29" s="104"/>
      <c r="F29" s="105"/>
      <c r="G29" s="102"/>
    </row>
    <row r="30" spans="2:19" ht="14.45" x14ac:dyDescent="0.3">
      <c r="B30" s="101"/>
      <c r="C30" s="104"/>
      <c r="D30" s="103"/>
      <c r="E30" s="104"/>
      <c r="F30" s="105"/>
      <c r="G30" s="102"/>
    </row>
    <row r="31" spans="2:19" ht="14.45" x14ac:dyDescent="0.3">
      <c r="B31" s="101"/>
      <c r="C31" s="104"/>
      <c r="D31" s="103"/>
      <c r="E31" s="104"/>
      <c r="F31" s="105"/>
      <c r="G31" s="102"/>
    </row>
    <row r="32" spans="2:19" ht="14.45" x14ac:dyDescent="0.3">
      <c r="B32" s="101"/>
      <c r="C32" s="104"/>
      <c r="D32" s="103"/>
      <c r="E32" s="104"/>
      <c r="F32" s="105"/>
      <c r="G32" s="102"/>
    </row>
    <row r="33" spans="2:9" ht="14.45" x14ac:dyDescent="0.3">
      <c r="B33" s="101"/>
      <c r="C33" s="104"/>
      <c r="D33" s="103"/>
      <c r="E33" s="104"/>
      <c r="F33" s="105"/>
      <c r="G33" s="102"/>
    </row>
    <row r="34" spans="2:9" ht="14.45" x14ac:dyDescent="0.3">
      <c r="B34" s="101"/>
      <c r="C34" s="104"/>
      <c r="D34" s="103"/>
      <c r="E34" s="104"/>
      <c r="F34" s="105"/>
      <c r="G34" s="102"/>
    </row>
    <row r="35" spans="2:9" ht="14.45" x14ac:dyDescent="0.3">
      <c r="B35" s="101"/>
      <c r="C35" s="104"/>
      <c r="D35" s="103"/>
      <c r="E35" s="104"/>
      <c r="F35" s="105"/>
      <c r="G35" s="102"/>
    </row>
    <row r="36" spans="2:9" x14ac:dyDescent="0.25">
      <c r="B36" s="101"/>
      <c r="C36" s="104"/>
      <c r="D36" s="103"/>
      <c r="E36" s="104"/>
      <c r="F36" s="105"/>
      <c r="G36" s="102"/>
    </row>
    <row r="37" spans="2:9" ht="15.75" thickBot="1" x14ac:dyDescent="0.3">
      <c r="B37" s="106"/>
      <c r="C37" s="107"/>
      <c r="D37" s="108"/>
      <c r="E37" s="107"/>
      <c r="F37" s="109"/>
      <c r="G37" s="110"/>
    </row>
    <row r="38" spans="2:9" x14ac:dyDescent="0.25">
      <c r="C38" s="17"/>
    </row>
    <row r="39" spans="2:9" x14ac:dyDescent="0.25">
      <c r="B39" s="83"/>
      <c r="C39" s="69">
        <v>1</v>
      </c>
      <c r="D39" s="84">
        <v>1</v>
      </c>
      <c r="E39" s="84">
        <v>1</v>
      </c>
      <c r="F39" s="84">
        <v>1</v>
      </c>
      <c r="G39" s="84">
        <v>1</v>
      </c>
    </row>
    <row r="40" spans="2:9" x14ac:dyDescent="0.25">
      <c r="B40" s="83"/>
      <c r="C40" s="69"/>
      <c r="D40" s="83"/>
      <c r="E40" s="83"/>
      <c r="F40" s="83"/>
      <c r="G40" s="83"/>
    </row>
    <row r="41" spans="2:9" x14ac:dyDescent="0.25">
      <c r="B41" s="83"/>
      <c r="C41" s="83"/>
      <c r="D41" s="83"/>
      <c r="E41" s="83"/>
      <c r="F41" s="83"/>
      <c r="G41" s="83"/>
    </row>
    <row r="42" spans="2:9" x14ac:dyDescent="0.25">
      <c r="B42" s="83"/>
      <c r="C42" s="83"/>
      <c r="D42" s="83"/>
      <c r="E42" s="83"/>
      <c r="F42" s="83"/>
      <c r="G42" s="83"/>
    </row>
    <row r="43" spans="2:9" ht="15.75" thickBot="1" x14ac:dyDescent="0.3">
      <c r="I43" s="115" t="e">
        <f>D12/C12</f>
        <v>#DIV/0!</v>
      </c>
    </row>
    <row r="44" spans="2:9" ht="15.75" thickBot="1" x14ac:dyDescent="0.3">
      <c r="C44" s="81" t="s">
        <v>19</v>
      </c>
      <c r="D44" s="82" t="s">
        <v>20</v>
      </c>
    </row>
    <row r="45" spans="2:9" ht="15.75" thickBot="1" x14ac:dyDescent="0.3">
      <c r="B45" s="75" t="s">
        <v>7</v>
      </c>
      <c r="C45" s="85">
        <f>D21</f>
        <v>0.2</v>
      </c>
      <c r="D45" s="86">
        <f>F21</f>
        <v>0.2</v>
      </c>
    </row>
    <row r="46" spans="2:9" ht="15.75" thickBot="1" x14ac:dyDescent="0.3">
      <c r="B46" s="75" t="s">
        <v>8</v>
      </c>
      <c r="C46" s="79">
        <f>E21</f>
        <v>0.1</v>
      </c>
      <c r="D46" s="80">
        <f>G21</f>
        <v>0.1</v>
      </c>
    </row>
    <row r="47" spans="2:9" ht="15.75" thickBot="1" x14ac:dyDescent="0.3">
      <c r="B47" s="76" t="s">
        <v>48</v>
      </c>
      <c r="C47" s="77">
        <f>B21</f>
        <v>0.01</v>
      </c>
      <c r="D47" s="78">
        <f>C21</f>
        <v>0.99</v>
      </c>
    </row>
    <row r="64" spans="3:4" x14ac:dyDescent="0.25">
      <c r="C64" s="72" t="s">
        <v>19</v>
      </c>
      <c r="D64" s="72" t="s">
        <v>20</v>
      </c>
    </row>
    <row r="65" spans="1:4" x14ac:dyDescent="0.25">
      <c r="A65" s="2">
        <v>0.05</v>
      </c>
      <c r="B65" s="71">
        <v>0</v>
      </c>
      <c r="C65" s="4">
        <f t="shared" ref="C65:C128" si="4">_xlfn.NORM.DIST(B65,$C$45,C$46,FALSE)*G1_Weight</f>
        <v>5.3990966513188052E-3</v>
      </c>
      <c r="D65" s="4">
        <f t="shared" ref="D65:D128" si="5">_xlfn.NORM.DIST(B65,D$45,D$46,FALSE)*G2_Weight</f>
        <v>0.53451056848056178</v>
      </c>
    </row>
    <row r="66" spans="1:4" x14ac:dyDescent="0.25">
      <c r="B66" s="71">
        <f t="shared" ref="B66:B129" si="6">B65+$A$65</f>
        <v>0.05</v>
      </c>
      <c r="C66" s="4">
        <f t="shared" si="4"/>
        <v>1.2951759566589168E-2</v>
      </c>
      <c r="D66" s="4">
        <f t="shared" si="5"/>
        <v>1.2822241970923276</v>
      </c>
    </row>
    <row r="67" spans="1:4" x14ac:dyDescent="0.25">
      <c r="B67" s="71">
        <f t="shared" si="6"/>
        <v>0.1</v>
      </c>
      <c r="C67" s="4">
        <f t="shared" si="4"/>
        <v>2.4197072451914336E-2</v>
      </c>
      <c r="D67" s="4">
        <f t="shared" si="5"/>
        <v>2.3955101727395194</v>
      </c>
    </row>
    <row r="68" spans="1:4" x14ac:dyDescent="0.25">
      <c r="B68" s="71">
        <f t="shared" si="6"/>
        <v>0.15000000000000002</v>
      </c>
      <c r="C68" s="4">
        <f t="shared" si="4"/>
        <v>3.5206532676429952E-2</v>
      </c>
      <c r="D68" s="4">
        <f t="shared" si="5"/>
        <v>3.485446734966565</v>
      </c>
    </row>
    <row r="69" spans="1:4" x14ac:dyDescent="0.25">
      <c r="B69" s="71">
        <f t="shared" si="6"/>
        <v>0.2</v>
      </c>
      <c r="C69" s="4">
        <f t="shared" si="4"/>
        <v>3.9894228040143268E-2</v>
      </c>
      <c r="D69" s="4">
        <f t="shared" si="5"/>
        <v>3.9495285759741838</v>
      </c>
    </row>
    <row r="70" spans="1:4" x14ac:dyDescent="0.25">
      <c r="B70" s="71">
        <f t="shared" si="6"/>
        <v>0.25</v>
      </c>
      <c r="C70" s="4">
        <f t="shared" si="4"/>
        <v>3.5206532676429952E-2</v>
      </c>
      <c r="D70" s="4">
        <f t="shared" si="5"/>
        <v>3.485446734966565</v>
      </c>
    </row>
    <row r="71" spans="1:4" x14ac:dyDescent="0.25">
      <c r="B71" s="71">
        <f t="shared" si="6"/>
        <v>0.3</v>
      </c>
      <c r="C71" s="4">
        <f t="shared" si="4"/>
        <v>2.4197072451914336E-2</v>
      </c>
      <c r="D71" s="4">
        <f t="shared" si="5"/>
        <v>2.3955101727395194</v>
      </c>
    </row>
    <row r="72" spans="1:4" x14ac:dyDescent="0.25">
      <c r="B72" s="71">
        <f t="shared" si="6"/>
        <v>0.35</v>
      </c>
      <c r="C72" s="4">
        <f t="shared" si="4"/>
        <v>1.2951759566589184E-2</v>
      </c>
      <c r="D72" s="4">
        <f t="shared" si="5"/>
        <v>1.2822241970923292</v>
      </c>
    </row>
    <row r="73" spans="1:4" x14ac:dyDescent="0.25">
      <c r="B73" s="71">
        <f t="shared" si="6"/>
        <v>0.39999999999999997</v>
      </c>
      <c r="C73" s="4">
        <f t="shared" si="4"/>
        <v>5.3990966513188096E-3</v>
      </c>
      <c r="D73" s="4">
        <f t="shared" si="5"/>
        <v>0.53451056848056222</v>
      </c>
    </row>
    <row r="74" spans="1:4" x14ac:dyDescent="0.25">
      <c r="B74" s="71">
        <f t="shared" si="6"/>
        <v>0.44999999999999996</v>
      </c>
      <c r="C74" s="4">
        <f t="shared" si="4"/>
        <v>1.7528300493568577E-3</v>
      </c>
      <c r="D74" s="4">
        <f t="shared" si="5"/>
        <v>0.17353017488632891</v>
      </c>
    </row>
    <row r="75" spans="1:4" x14ac:dyDescent="0.25">
      <c r="B75" s="71">
        <f t="shared" si="6"/>
        <v>0.49999999999999994</v>
      </c>
      <c r="C75" s="4">
        <f t="shared" si="4"/>
        <v>4.431848411938019E-4</v>
      </c>
      <c r="D75" s="4">
        <f t="shared" si="5"/>
        <v>4.387529927818639E-2</v>
      </c>
    </row>
    <row r="76" spans="1:4" x14ac:dyDescent="0.25">
      <c r="B76" s="71">
        <f t="shared" si="6"/>
        <v>0.54999999999999993</v>
      </c>
      <c r="C76" s="4">
        <f t="shared" si="4"/>
        <v>8.7268269504576308E-5</v>
      </c>
      <c r="D76" s="4">
        <f t="shared" si="5"/>
        <v>8.6395586809530547E-3</v>
      </c>
    </row>
    <row r="77" spans="1:4" x14ac:dyDescent="0.25">
      <c r="B77" s="71">
        <f t="shared" si="6"/>
        <v>0.6</v>
      </c>
      <c r="C77" s="4">
        <f t="shared" si="4"/>
        <v>1.3383022576488561E-5</v>
      </c>
      <c r="D77" s="4">
        <f t="shared" si="5"/>
        <v>1.3249192350723675E-3</v>
      </c>
    </row>
    <row r="78" spans="1:4" x14ac:dyDescent="0.25">
      <c r="B78" s="71">
        <f t="shared" si="6"/>
        <v>0.65</v>
      </c>
      <c r="C78" s="4">
        <f t="shared" si="4"/>
        <v>1.5983741106905473E-6</v>
      </c>
      <c r="D78" s="4">
        <f t="shared" si="5"/>
        <v>1.582390369583642E-4</v>
      </c>
    </row>
    <row r="79" spans="1:4" x14ac:dyDescent="0.25">
      <c r="B79" s="71">
        <f t="shared" si="6"/>
        <v>0.70000000000000007</v>
      </c>
      <c r="C79" s="4">
        <f t="shared" si="4"/>
        <v>1.4867195147342977E-7</v>
      </c>
      <c r="D79" s="4">
        <f t="shared" si="5"/>
        <v>1.4718523195869548E-5</v>
      </c>
    </row>
    <row r="80" spans="1:4" x14ac:dyDescent="0.25">
      <c r="B80" s="71">
        <f t="shared" si="6"/>
        <v>0.75000000000000011</v>
      </c>
      <c r="C80" s="4">
        <f t="shared" si="4"/>
        <v>1.0769760042543273E-8</v>
      </c>
      <c r="D80" s="4">
        <f t="shared" si="5"/>
        <v>1.0662062442117841E-6</v>
      </c>
    </row>
    <row r="81" spans="2:4" x14ac:dyDescent="0.25">
      <c r="B81" s="71">
        <f t="shared" si="6"/>
        <v>0.80000000000000016</v>
      </c>
      <c r="C81" s="4">
        <f t="shared" si="4"/>
        <v>6.0758828498232427E-10</v>
      </c>
      <c r="D81" s="4">
        <f t="shared" si="5"/>
        <v>6.0151240213250104E-8</v>
      </c>
    </row>
    <row r="82" spans="2:4" x14ac:dyDescent="0.25">
      <c r="B82" s="71">
        <f t="shared" si="6"/>
        <v>0.8500000000000002</v>
      </c>
      <c r="C82" s="4">
        <f t="shared" si="4"/>
        <v>2.6695566147628328E-11</v>
      </c>
      <c r="D82" s="4">
        <f t="shared" si="5"/>
        <v>2.6428610486152046E-9</v>
      </c>
    </row>
    <row r="83" spans="2:4" x14ac:dyDescent="0.25">
      <c r="B83" s="71">
        <f t="shared" si="6"/>
        <v>0.90000000000000024</v>
      </c>
      <c r="C83" s="4">
        <f t="shared" si="4"/>
        <v>9.1347204083644644E-13</v>
      </c>
      <c r="D83" s="4">
        <f t="shared" si="5"/>
        <v>9.0433732042808187E-11</v>
      </c>
    </row>
    <row r="84" spans="2:4" x14ac:dyDescent="0.25">
      <c r="B84" s="71">
        <f t="shared" si="6"/>
        <v>0.95000000000000029</v>
      </c>
      <c r="C84" s="4">
        <f t="shared" si="4"/>
        <v>2.4343205330289757E-14</v>
      </c>
      <c r="D84" s="4">
        <f t="shared" si="5"/>
        <v>2.4099773276986859E-12</v>
      </c>
    </row>
    <row r="85" spans="2:4" x14ac:dyDescent="0.25">
      <c r="B85" s="71">
        <f t="shared" si="6"/>
        <v>1.0000000000000002</v>
      </c>
      <c r="C85" s="4">
        <f t="shared" si="4"/>
        <v>5.0522710835368206E-16</v>
      </c>
      <c r="D85" s="4">
        <f t="shared" si="5"/>
        <v>5.0017483727014516E-14</v>
      </c>
    </row>
    <row r="86" spans="2:4" x14ac:dyDescent="0.25">
      <c r="B86" s="71">
        <f t="shared" si="6"/>
        <v>1.0500000000000003</v>
      </c>
      <c r="C86" s="4">
        <f t="shared" si="4"/>
        <v>8.166235631669434E-18</v>
      </c>
      <c r="D86" s="4">
        <f t="shared" si="5"/>
        <v>8.0845732753527403E-16</v>
      </c>
    </row>
    <row r="87" spans="2:4" x14ac:dyDescent="0.25">
      <c r="B87" s="71">
        <f t="shared" si="6"/>
        <v>1.1000000000000003</v>
      </c>
      <c r="C87" s="4">
        <f t="shared" si="4"/>
        <v>1.0279773571668625E-19</v>
      </c>
      <c r="D87" s="4">
        <f t="shared" si="5"/>
        <v>1.0176975835951939E-17</v>
      </c>
    </row>
    <row r="88" spans="2:4" x14ac:dyDescent="0.25">
      <c r="B88" s="71">
        <f t="shared" si="6"/>
        <v>1.1500000000000004</v>
      </c>
      <c r="C88" s="4">
        <f t="shared" si="4"/>
        <v>1.0077935394299654E-21</v>
      </c>
      <c r="D88" s="4">
        <f t="shared" si="5"/>
        <v>9.9771560403566558E-20</v>
      </c>
    </row>
    <row r="89" spans="2:4" x14ac:dyDescent="0.25">
      <c r="B89" s="71">
        <f t="shared" si="6"/>
        <v>1.2000000000000004</v>
      </c>
      <c r="C89" s="4">
        <f t="shared" si="4"/>
        <v>7.6945986267061475E-24</v>
      </c>
      <c r="D89" s="4">
        <f t="shared" si="5"/>
        <v>7.6176526404390851E-22</v>
      </c>
    </row>
    <row r="90" spans="2:4" x14ac:dyDescent="0.25">
      <c r="B90" s="71">
        <f t="shared" si="6"/>
        <v>1.2500000000000004</v>
      </c>
      <c r="C90" s="4">
        <f t="shared" si="4"/>
        <v>4.5753755905206431E-26</v>
      </c>
      <c r="D90" s="4">
        <f t="shared" si="5"/>
        <v>4.5296218346154368E-24</v>
      </c>
    </row>
    <row r="91" spans="2:4" x14ac:dyDescent="0.25">
      <c r="B91" s="71">
        <f t="shared" si="6"/>
        <v>1.3000000000000005</v>
      </c>
      <c r="C91" s="4">
        <f t="shared" si="4"/>
        <v>2.1188192535092331E-28</v>
      </c>
      <c r="D91" s="4">
        <f t="shared" si="5"/>
        <v>2.0976310609741406E-26</v>
      </c>
    </row>
    <row r="92" spans="2:4" x14ac:dyDescent="0.25">
      <c r="B92" s="71">
        <f t="shared" si="6"/>
        <v>1.3500000000000005</v>
      </c>
      <c r="C92" s="4">
        <f t="shared" si="4"/>
        <v>7.6416554115867693E-31</v>
      </c>
      <c r="D92" s="4">
        <f t="shared" si="5"/>
        <v>7.5652388574709013E-29</v>
      </c>
    </row>
    <row r="93" spans="2:4" x14ac:dyDescent="0.25">
      <c r="B93" s="71">
        <f t="shared" si="6"/>
        <v>1.4000000000000006</v>
      </c>
      <c r="C93" s="4">
        <f t="shared" si="4"/>
        <v>2.1463837356629381E-33</v>
      </c>
      <c r="D93" s="4">
        <f t="shared" si="5"/>
        <v>2.1249198983063091E-31</v>
      </c>
    </row>
    <row r="94" spans="2:4" x14ac:dyDescent="0.25">
      <c r="B94" s="71">
        <f t="shared" si="6"/>
        <v>1.4500000000000006</v>
      </c>
      <c r="C94" s="4">
        <f t="shared" si="4"/>
        <v>4.6951953579748127E-36</v>
      </c>
      <c r="D94" s="4">
        <f t="shared" si="5"/>
        <v>4.6482434043950648E-34</v>
      </c>
    </row>
    <row r="95" spans="2:4" x14ac:dyDescent="0.25">
      <c r="B95" s="71">
        <f t="shared" si="6"/>
        <v>1.5000000000000007</v>
      </c>
      <c r="C95" s="4">
        <f t="shared" si="4"/>
        <v>7.9988277570061288E-39</v>
      </c>
      <c r="D95" s="4">
        <f t="shared" si="5"/>
        <v>7.9188394794360683E-37</v>
      </c>
    </row>
    <row r="96" spans="2:4" x14ac:dyDescent="0.25">
      <c r="B96" s="71">
        <f t="shared" si="6"/>
        <v>1.5500000000000007</v>
      </c>
      <c r="C96" s="4">
        <f t="shared" si="4"/>
        <v>1.0612688139151105E-41</v>
      </c>
      <c r="D96" s="4">
        <f t="shared" si="5"/>
        <v>1.0506561257759594E-39</v>
      </c>
    </row>
    <row r="97" spans="2:4" x14ac:dyDescent="0.25">
      <c r="B97" s="71">
        <f t="shared" si="6"/>
        <v>1.6000000000000008</v>
      </c>
      <c r="C97" s="4">
        <f t="shared" si="4"/>
        <v>1.0966065593888623E-44</v>
      </c>
      <c r="D97" s="4">
        <f t="shared" si="5"/>
        <v>1.0856404937949735E-42</v>
      </c>
    </row>
    <row r="98" spans="2:4" x14ac:dyDescent="0.25">
      <c r="B98" s="71">
        <f t="shared" si="6"/>
        <v>1.6500000000000008</v>
      </c>
      <c r="C98" s="4">
        <f t="shared" si="4"/>
        <v>8.824754974593946E-48</v>
      </c>
      <c r="D98" s="4">
        <f t="shared" si="5"/>
        <v>8.7365074248480062E-46</v>
      </c>
    </row>
    <row r="99" spans="2:4" x14ac:dyDescent="0.25">
      <c r="B99" s="71">
        <f t="shared" si="6"/>
        <v>1.7000000000000008</v>
      </c>
      <c r="C99" s="4">
        <f t="shared" si="4"/>
        <v>5.5307095498437097E-51</v>
      </c>
      <c r="D99" s="4">
        <f t="shared" si="5"/>
        <v>5.4754024543452724E-49</v>
      </c>
    </row>
    <row r="100" spans="2:4" x14ac:dyDescent="0.25">
      <c r="B100" s="71">
        <f t="shared" si="6"/>
        <v>1.7500000000000009</v>
      </c>
      <c r="C100" s="4">
        <f t="shared" si="4"/>
        <v>2.6995130245882037E-54</v>
      </c>
      <c r="D100" s="4">
        <f t="shared" si="5"/>
        <v>2.6725178943423216E-52</v>
      </c>
    </row>
    <row r="101" spans="2:4" x14ac:dyDescent="0.25">
      <c r="B101" s="71">
        <f t="shared" si="6"/>
        <v>1.8000000000000009</v>
      </c>
      <c r="C101" s="4">
        <f t="shared" si="4"/>
        <v>1.0261630727917868E-57</v>
      </c>
      <c r="D101" s="4">
        <f t="shared" si="5"/>
        <v>1.0159014420638689E-55</v>
      </c>
    </row>
    <row r="102" spans="2:4" x14ac:dyDescent="0.25">
      <c r="B102" s="71">
        <f t="shared" si="6"/>
        <v>1.850000000000001</v>
      </c>
      <c r="C102" s="4">
        <f t="shared" si="4"/>
        <v>3.0379016987894049E-61</v>
      </c>
      <c r="D102" s="4">
        <f t="shared" si="5"/>
        <v>3.0075226818015108E-59</v>
      </c>
    </row>
    <row r="103" spans="2:4" x14ac:dyDescent="0.25">
      <c r="B103" s="71">
        <f t="shared" si="6"/>
        <v>1.900000000000001</v>
      </c>
      <c r="C103" s="4">
        <f t="shared" si="4"/>
        <v>7.0041821343173865E-65</v>
      </c>
      <c r="D103" s="4">
        <f t="shared" si="5"/>
        <v>6.9341403129742121E-63</v>
      </c>
    </row>
    <row r="104" spans="2:4" x14ac:dyDescent="0.25">
      <c r="B104" s="71">
        <f t="shared" si="6"/>
        <v>1.9500000000000011</v>
      </c>
      <c r="C104" s="4">
        <f t="shared" si="4"/>
        <v>1.2576723828779434E-68</v>
      </c>
      <c r="D104" s="4">
        <f t="shared" si="5"/>
        <v>1.245095659049164E-66</v>
      </c>
    </row>
    <row r="105" spans="2:4" x14ac:dyDescent="0.25">
      <c r="B105" s="71">
        <f t="shared" si="6"/>
        <v>2.0000000000000009</v>
      </c>
      <c r="C105" s="4">
        <f t="shared" si="4"/>
        <v>1.7587495425949039E-72</v>
      </c>
      <c r="D105" s="4">
        <f t="shared" si="5"/>
        <v>1.7411620471689546E-70</v>
      </c>
    </row>
    <row r="106" spans="2:4" x14ac:dyDescent="0.25">
      <c r="B106" s="71">
        <f t="shared" si="6"/>
        <v>2.0500000000000007</v>
      </c>
      <c r="C106" s="4">
        <f t="shared" si="4"/>
        <v>1.9154324916716635E-76</v>
      </c>
      <c r="D106" s="4">
        <f t="shared" si="5"/>
        <v>1.8962781667549466E-74</v>
      </c>
    </row>
    <row r="107" spans="2:4" x14ac:dyDescent="0.25">
      <c r="B107" s="71">
        <f t="shared" si="6"/>
        <v>2.1000000000000005</v>
      </c>
      <c r="C107" s="4">
        <f t="shared" si="4"/>
        <v>1.6246360367735157E-80</v>
      </c>
      <c r="D107" s="4">
        <f t="shared" si="5"/>
        <v>1.6083896764057805E-78</v>
      </c>
    </row>
    <row r="108" spans="2:4" x14ac:dyDescent="0.25">
      <c r="B108" s="71">
        <f t="shared" si="6"/>
        <v>2.1500000000000004</v>
      </c>
      <c r="C108" s="4">
        <f t="shared" si="4"/>
        <v>1.0731778340682044E-84</v>
      </c>
      <c r="D108" s="4">
        <f t="shared" si="5"/>
        <v>1.0624460557275222E-82</v>
      </c>
    </row>
    <row r="109" spans="2:4" x14ac:dyDescent="0.25">
      <c r="B109" s="71">
        <f t="shared" si="6"/>
        <v>2.2000000000000002</v>
      </c>
      <c r="C109" s="4">
        <f t="shared" si="4"/>
        <v>5.5209483621597638E-89</v>
      </c>
      <c r="D109" s="4">
        <f t="shared" si="5"/>
        <v>5.4657388785381654E-87</v>
      </c>
    </row>
    <row r="110" spans="2:4" x14ac:dyDescent="0.25">
      <c r="B110" s="71">
        <f t="shared" si="6"/>
        <v>2.25</v>
      </c>
      <c r="C110" s="4">
        <f t="shared" si="4"/>
        <v>2.2119843802107591E-93</v>
      </c>
      <c r="D110" s="4">
        <f t="shared" si="5"/>
        <v>2.1898645364086513E-91</v>
      </c>
    </row>
    <row r="111" spans="2:4" x14ac:dyDescent="0.25">
      <c r="B111" s="71">
        <f t="shared" si="6"/>
        <v>2.2999999999999998</v>
      </c>
      <c r="C111" s="4">
        <f t="shared" si="4"/>
        <v>6.9020294201278081E-98</v>
      </c>
      <c r="D111" s="4">
        <f t="shared" si="5"/>
        <v>6.8330091259265303E-96</v>
      </c>
    </row>
    <row r="112" spans="2:4" x14ac:dyDescent="0.25">
      <c r="B112" s="71">
        <f t="shared" si="6"/>
        <v>2.3499999999999996</v>
      </c>
      <c r="C112" s="4">
        <f t="shared" si="4"/>
        <v>1.6772505228546299E-102</v>
      </c>
      <c r="D112" s="4">
        <f t="shared" si="5"/>
        <v>1.6604780176260837E-100</v>
      </c>
    </row>
    <row r="113" spans="2:4" x14ac:dyDescent="0.25">
      <c r="B113" s="71">
        <f t="shared" si="6"/>
        <v>2.3999999999999995</v>
      </c>
      <c r="C113" s="4">
        <f t="shared" si="4"/>
        <v>3.1742815528258038E-107</v>
      </c>
      <c r="D113" s="4">
        <f t="shared" si="5"/>
        <v>3.1425387372975453E-105</v>
      </c>
    </row>
    <row r="114" spans="2:4" x14ac:dyDescent="0.25">
      <c r="B114" s="71">
        <f t="shared" si="6"/>
        <v>2.4499999999999993</v>
      </c>
      <c r="C114" s="4">
        <f t="shared" si="4"/>
        <v>4.6786368172511111E-112</v>
      </c>
      <c r="D114" s="4">
        <f t="shared" si="5"/>
        <v>4.6318504490785994E-110</v>
      </c>
    </row>
    <row r="115" spans="2:4" x14ac:dyDescent="0.25">
      <c r="B115" s="71">
        <f t="shared" si="6"/>
        <v>2.4999999999999991</v>
      </c>
      <c r="C115" s="4">
        <f t="shared" si="4"/>
        <v>5.3705603650218124E-117</v>
      </c>
      <c r="D115" s="4">
        <f t="shared" si="5"/>
        <v>5.3168547613715938E-115</v>
      </c>
    </row>
    <row r="116" spans="2:4" x14ac:dyDescent="0.25">
      <c r="B116" s="71">
        <f t="shared" si="6"/>
        <v>2.5499999999999989</v>
      </c>
      <c r="C116" s="4">
        <f t="shared" si="4"/>
        <v>4.8011607859085186E-122</v>
      </c>
      <c r="D116" s="4">
        <f t="shared" si="5"/>
        <v>4.7531491780494332E-120</v>
      </c>
    </row>
    <row r="117" spans="2:4" x14ac:dyDescent="0.25">
      <c r="B117" s="71">
        <f t="shared" si="6"/>
        <v>2.5999999999999988</v>
      </c>
      <c r="C117" s="4">
        <f t="shared" si="4"/>
        <v>3.3427144417955979E-127</v>
      </c>
      <c r="D117" s="4">
        <f t="shared" si="5"/>
        <v>3.3092872973776416E-125</v>
      </c>
    </row>
    <row r="118" spans="2:4" x14ac:dyDescent="0.25">
      <c r="B118" s="71">
        <f t="shared" si="6"/>
        <v>2.6499999999999986</v>
      </c>
      <c r="C118" s="4">
        <f t="shared" si="4"/>
        <v>1.8125027935523492E-132</v>
      </c>
      <c r="D118" s="4">
        <f t="shared" si="5"/>
        <v>1.7943777656168257E-130</v>
      </c>
    </row>
    <row r="119" spans="2:4" x14ac:dyDescent="0.25">
      <c r="B119" s="71">
        <f t="shared" si="6"/>
        <v>2.6999999999999984</v>
      </c>
      <c r="C119" s="4">
        <f t="shared" si="4"/>
        <v>7.6539297364228729E-138</v>
      </c>
      <c r="D119" s="4">
        <f t="shared" si="5"/>
        <v>7.5773904390586446E-136</v>
      </c>
    </row>
    <row r="120" spans="2:4" x14ac:dyDescent="0.25">
      <c r="B120" s="71">
        <f t="shared" si="6"/>
        <v>2.7499999999999982</v>
      </c>
      <c r="C120" s="4">
        <f t="shared" si="4"/>
        <v>2.5171937051948359E-143</v>
      </c>
      <c r="D120" s="4">
        <f t="shared" si="5"/>
        <v>2.4920217681428877E-141</v>
      </c>
    </row>
    <row r="121" spans="2:4" x14ac:dyDescent="0.25">
      <c r="B121" s="71">
        <f t="shared" si="6"/>
        <v>2.799999999999998</v>
      </c>
      <c r="C121" s="4">
        <f t="shared" si="4"/>
        <v>6.4472599714015175E-149</v>
      </c>
      <c r="D121" s="4">
        <f t="shared" si="5"/>
        <v>6.382787371687502E-147</v>
      </c>
    </row>
    <row r="122" spans="2:4" x14ac:dyDescent="0.25">
      <c r="B122" s="71">
        <f t="shared" si="6"/>
        <v>2.8499999999999979</v>
      </c>
      <c r="C122" s="4">
        <f t="shared" si="4"/>
        <v>1.2860566740722464E-154</v>
      </c>
      <c r="D122" s="4">
        <f t="shared" si="5"/>
        <v>1.273196107331524E-152</v>
      </c>
    </row>
    <row r="123" spans="2:4" x14ac:dyDescent="0.25">
      <c r="B123" s="71">
        <f t="shared" si="6"/>
        <v>2.8999999999999977</v>
      </c>
      <c r="C123" s="4">
        <f t="shared" si="4"/>
        <v>1.9978892591696423E-160</v>
      </c>
      <c r="D123" s="4">
        <f t="shared" si="5"/>
        <v>1.9779103665779458E-158</v>
      </c>
    </row>
    <row r="124" spans="2:4" x14ac:dyDescent="0.25">
      <c r="B124" s="71">
        <f t="shared" si="6"/>
        <v>2.9499999999999975</v>
      </c>
      <c r="C124" s="4">
        <f t="shared" si="4"/>
        <v>2.4171805786214738E-166</v>
      </c>
      <c r="D124" s="4">
        <f t="shared" si="5"/>
        <v>2.3930087728352591E-164</v>
      </c>
    </row>
    <row r="125" spans="2:4" x14ac:dyDescent="0.25">
      <c r="B125" s="71">
        <f t="shared" si="6"/>
        <v>2.9999999999999973</v>
      </c>
      <c r="C125" s="4">
        <f t="shared" si="4"/>
        <v>2.2775774787384735E-172</v>
      </c>
      <c r="D125" s="4">
        <f t="shared" si="5"/>
        <v>2.2548017039510884E-170</v>
      </c>
    </row>
    <row r="126" spans="2:4" x14ac:dyDescent="0.25">
      <c r="B126" s="71">
        <f t="shared" si="6"/>
        <v>3.0499999999999972</v>
      </c>
      <c r="C126" s="4">
        <f t="shared" si="4"/>
        <v>1.6713353651315999E-178</v>
      </c>
      <c r="D126" s="4">
        <f t="shared" si="5"/>
        <v>1.6546220114802839E-176</v>
      </c>
    </row>
    <row r="127" spans="2:4" x14ac:dyDescent="0.25">
      <c r="B127" s="71">
        <f t="shared" si="6"/>
        <v>3.099999999999997</v>
      </c>
      <c r="C127" s="4">
        <f t="shared" si="4"/>
        <v>9.5516945419575255E-185</v>
      </c>
      <c r="D127" s="4">
        <f t="shared" si="5"/>
        <v>9.4561775965379496E-183</v>
      </c>
    </row>
    <row r="128" spans="2:4" x14ac:dyDescent="0.25">
      <c r="B128" s="71">
        <f t="shared" si="6"/>
        <v>3.1499999999999968</v>
      </c>
      <c r="C128" s="4">
        <f t="shared" si="4"/>
        <v>4.2513183535319006E-191</v>
      </c>
      <c r="D128" s="4">
        <f t="shared" si="5"/>
        <v>4.2088051699965818E-189</v>
      </c>
    </row>
    <row r="129" spans="2:4" x14ac:dyDescent="0.25">
      <c r="B129" s="71">
        <f t="shared" si="6"/>
        <v>3.1999999999999966</v>
      </c>
      <c r="C129" s="4">
        <f t="shared" ref="C129:C192" si="7">_xlfn.NORM.DIST(B129,$C$45,C$46,FALSE)*G1_Weight</f>
        <v>1.4736461348801389E-197</v>
      </c>
      <c r="D129" s="4">
        <f t="shared" ref="D129:D192" si="8">_xlfn.NORM.DIST(B129,D$45,D$46,FALSE)*G2_Weight</f>
        <v>1.4589096735313376E-195</v>
      </c>
    </row>
    <row r="130" spans="2:4" x14ac:dyDescent="0.25">
      <c r="B130" s="71">
        <f t="shared" ref="B130:B193" si="9">B129+$A$65</f>
        <v>3.2499999999999964</v>
      </c>
      <c r="C130" s="4">
        <f t="shared" si="7"/>
        <v>3.9782234272868692E-204</v>
      </c>
      <c r="D130" s="4">
        <f t="shared" si="8"/>
        <v>3.938441193014E-202</v>
      </c>
    </row>
    <row r="131" spans="2:4" x14ac:dyDescent="0.25">
      <c r="B131" s="71">
        <f t="shared" si="9"/>
        <v>3.2999999999999963</v>
      </c>
      <c r="C131" s="4">
        <f t="shared" si="7"/>
        <v>8.3639516058664453E-211</v>
      </c>
      <c r="D131" s="4">
        <f t="shared" si="8"/>
        <v>8.2803120898077809E-209</v>
      </c>
    </row>
    <row r="132" spans="2:4" x14ac:dyDescent="0.25">
      <c r="B132" s="71">
        <f t="shared" si="9"/>
        <v>3.3499999999999961</v>
      </c>
      <c r="C132" s="4">
        <f t="shared" si="7"/>
        <v>1.3694943080816356E-217</v>
      </c>
      <c r="D132" s="4">
        <f t="shared" si="8"/>
        <v>1.3557993650008192E-215</v>
      </c>
    </row>
    <row r="133" spans="2:4" x14ac:dyDescent="0.25">
      <c r="B133" s="71">
        <f t="shared" si="9"/>
        <v>3.3999999999999959</v>
      </c>
      <c r="C133" s="4">
        <f t="shared" si="7"/>
        <v>1.7463662567611591E-224</v>
      </c>
      <c r="D133" s="4">
        <f t="shared" si="8"/>
        <v>1.7289025941935474E-222</v>
      </c>
    </row>
    <row r="134" spans="2:4" x14ac:dyDescent="0.25">
      <c r="B134" s="71">
        <f t="shared" si="9"/>
        <v>3.4499999999999957</v>
      </c>
      <c r="C134" s="4">
        <f t="shared" si="7"/>
        <v>1.7343502636091959E-231</v>
      </c>
      <c r="D134" s="4">
        <f t="shared" si="8"/>
        <v>1.717006760973104E-229</v>
      </c>
    </row>
    <row r="135" spans="2:4" x14ac:dyDescent="0.25">
      <c r="B135" s="71">
        <f t="shared" si="9"/>
        <v>3.4999999999999956</v>
      </c>
      <c r="C135" s="4">
        <f t="shared" si="7"/>
        <v>1.341419667351571E-238</v>
      </c>
      <c r="D135" s="4">
        <f t="shared" si="8"/>
        <v>1.3280054706780553E-236</v>
      </c>
    </row>
    <row r="136" spans="2:4" x14ac:dyDescent="0.25">
      <c r="B136" s="71">
        <f t="shared" si="9"/>
        <v>3.5499999999999954</v>
      </c>
      <c r="C136" s="4">
        <f t="shared" si="7"/>
        <v>8.0801404138862263E-246</v>
      </c>
      <c r="D136" s="4">
        <f t="shared" si="8"/>
        <v>7.9993390097473646E-244</v>
      </c>
    </row>
    <row r="137" spans="2:4" x14ac:dyDescent="0.25">
      <c r="B137" s="71">
        <f t="shared" si="9"/>
        <v>3.5999999999999952</v>
      </c>
      <c r="C137" s="4">
        <f t="shared" si="7"/>
        <v>3.7905264000993322E-253</v>
      </c>
      <c r="D137" s="4">
        <f t="shared" si="8"/>
        <v>3.7526211360983394E-251</v>
      </c>
    </row>
    <row r="138" spans="2:4" x14ac:dyDescent="0.25">
      <c r="B138" s="71">
        <f t="shared" si="9"/>
        <v>3.649999999999995</v>
      </c>
      <c r="C138" s="4">
        <f t="shared" si="7"/>
        <v>1.3848620783406122E-260</v>
      </c>
      <c r="D138" s="4">
        <f t="shared" si="8"/>
        <v>1.3710134575572061E-258</v>
      </c>
    </row>
    <row r="139" spans="2:4" x14ac:dyDescent="0.25">
      <c r="B139" s="71">
        <f t="shared" si="9"/>
        <v>3.6999999999999948</v>
      </c>
      <c r="C139" s="4">
        <f t="shared" si="7"/>
        <v>3.9403962771440879E-268</v>
      </c>
      <c r="D139" s="4">
        <f t="shared" si="8"/>
        <v>3.9009923143726473E-266</v>
      </c>
    </row>
    <row r="140" spans="2:4" x14ac:dyDescent="0.25">
      <c r="B140" s="71">
        <f t="shared" si="9"/>
        <v>3.7499999999999947</v>
      </c>
      <c r="C140" s="4">
        <f t="shared" si="7"/>
        <v>8.7317171006383807E-276</v>
      </c>
      <c r="D140" s="4">
        <f t="shared" si="8"/>
        <v>8.6443999296319963E-274</v>
      </c>
    </row>
    <row r="141" spans="2:4" x14ac:dyDescent="0.25">
      <c r="B141" s="71">
        <f t="shared" si="9"/>
        <v>3.7999999999999945</v>
      </c>
      <c r="C141" s="4">
        <f t="shared" si="7"/>
        <v>1.5069047176234782E-283</v>
      </c>
      <c r="D141" s="4">
        <f t="shared" si="8"/>
        <v>1.4918356704472434E-281</v>
      </c>
    </row>
    <row r="142" spans="2:4" x14ac:dyDescent="0.25">
      <c r="B142" s="71">
        <f t="shared" si="9"/>
        <v>3.8499999999999943</v>
      </c>
      <c r="C142" s="4">
        <f t="shared" si="7"/>
        <v>2.0253417162165813E-291</v>
      </c>
      <c r="D142" s="4">
        <f t="shared" si="8"/>
        <v>2.0050882990544155E-289</v>
      </c>
    </row>
    <row r="143" spans="2:4" x14ac:dyDescent="0.25">
      <c r="B143" s="71">
        <f t="shared" si="9"/>
        <v>3.8999999999999941</v>
      </c>
      <c r="C143" s="4">
        <f t="shared" si="7"/>
        <v>2.1200065515296671E-299</v>
      </c>
      <c r="D143" s="4">
        <f t="shared" si="8"/>
        <v>2.0988064860143703E-297</v>
      </c>
    </row>
    <row r="144" spans="2:4" x14ac:dyDescent="0.25">
      <c r="B144" s="71">
        <f t="shared" si="9"/>
        <v>3.949999999999994</v>
      </c>
      <c r="C144" s="4">
        <f t="shared" si="7"/>
        <v>1.7282337322882313E-307</v>
      </c>
      <c r="D144" s="4">
        <f t="shared" si="8"/>
        <v>1.7109513949653489E-305</v>
      </c>
    </row>
    <row r="145" spans="2:4" x14ac:dyDescent="0.25">
      <c r="B145" s="71">
        <f t="shared" si="9"/>
        <v>3.9999999999999938</v>
      </c>
      <c r="C145" s="4">
        <f t="shared" si="7"/>
        <v>0</v>
      </c>
      <c r="D145" s="4">
        <f t="shared" si="8"/>
        <v>0</v>
      </c>
    </row>
    <row r="146" spans="2:4" x14ac:dyDescent="0.25">
      <c r="B146" s="71">
        <f t="shared" si="9"/>
        <v>4.0499999999999936</v>
      </c>
      <c r="C146" s="4">
        <f t="shared" si="7"/>
        <v>0</v>
      </c>
      <c r="D146" s="4">
        <f t="shared" si="8"/>
        <v>0</v>
      </c>
    </row>
    <row r="147" spans="2:4" x14ac:dyDescent="0.25">
      <c r="B147" s="71">
        <f t="shared" si="9"/>
        <v>4.0999999999999934</v>
      </c>
      <c r="C147" s="4">
        <f t="shared" si="7"/>
        <v>0</v>
      </c>
      <c r="D147" s="4">
        <f t="shared" si="8"/>
        <v>0</v>
      </c>
    </row>
    <row r="148" spans="2:4" x14ac:dyDescent="0.25">
      <c r="B148" s="71">
        <f t="shared" si="9"/>
        <v>4.1499999999999932</v>
      </c>
      <c r="C148" s="4">
        <f t="shared" si="7"/>
        <v>0</v>
      </c>
      <c r="D148" s="4">
        <f t="shared" si="8"/>
        <v>0</v>
      </c>
    </row>
    <row r="149" spans="2:4" x14ac:dyDescent="0.25">
      <c r="B149" s="71">
        <f t="shared" si="9"/>
        <v>4.1999999999999931</v>
      </c>
      <c r="C149" s="4">
        <f t="shared" si="7"/>
        <v>0</v>
      </c>
      <c r="D149" s="4">
        <f t="shared" si="8"/>
        <v>0</v>
      </c>
    </row>
    <row r="150" spans="2:4" x14ac:dyDescent="0.25">
      <c r="B150" s="71">
        <f t="shared" si="9"/>
        <v>4.2499999999999929</v>
      </c>
      <c r="C150" s="4">
        <f t="shared" si="7"/>
        <v>0</v>
      </c>
      <c r="D150" s="4">
        <f t="shared" si="8"/>
        <v>0</v>
      </c>
    </row>
    <row r="151" spans="2:4" x14ac:dyDescent="0.25">
      <c r="B151" s="71">
        <f t="shared" si="9"/>
        <v>4.2999999999999927</v>
      </c>
      <c r="C151" s="4">
        <f t="shared" si="7"/>
        <v>0</v>
      </c>
      <c r="D151" s="4">
        <f t="shared" si="8"/>
        <v>0</v>
      </c>
    </row>
    <row r="152" spans="2:4" x14ac:dyDescent="0.25">
      <c r="B152" s="71">
        <f t="shared" si="9"/>
        <v>4.3499999999999925</v>
      </c>
      <c r="C152" s="4">
        <f t="shared" si="7"/>
        <v>0</v>
      </c>
      <c r="D152" s="4">
        <f t="shared" si="8"/>
        <v>0</v>
      </c>
    </row>
    <row r="153" spans="2:4" x14ac:dyDescent="0.25">
      <c r="B153" s="71">
        <f t="shared" si="9"/>
        <v>4.3999999999999924</v>
      </c>
      <c r="C153" s="4">
        <f t="shared" si="7"/>
        <v>0</v>
      </c>
      <c r="D153" s="4">
        <f t="shared" si="8"/>
        <v>0</v>
      </c>
    </row>
    <row r="154" spans="2:4" x14ac:dyDescent="0.25">
      <c r="B154" s="71">
        <f t="shared" si="9"/>
        <v>4.4499999999999922</v>
      </c>
      <c r="C154" s="4">
        <f t="shared" si="7"/>
        <v>0</v>
      </c>
      <c r="D154" s="4">
        <f t="shared" si="8"/>
        <v>0</v>
      </c>
    </row>
    <row r="155" spans="2:4" x14ac:dyDescent="0.25">
      <c r="B155" s="71">
        <f t="shared" si="9"/>
        <v>4.499999999999992</v>
      </c>
      <c r="C155" s="4">
        <f t="shared" si="7"/>
        <v>0</v>
      </c>
      <c r="D155" s="4">
        <f t="shared" si="8"/>
        <v>0</v>
      </c>
    </row>
    <row r="156" spans="2:4" x14ac:dyDescent="0.25">
      <c r="B156" s="71">
        <f t="shared" si="9"/>
        <v>4.5499999999999918</v>
      </c>
      <c r="C156" s="4">
        <f t="shared" si="7"/>
        <v>0</v>
      </c>
      <c r="D156" s="4">
        <f t="shared" si="8"/>
        <v>0</v>
      </c>
    </row>
    <row r="157" spans="2:4" x14ac:dyDescent="0.25">
      <c r="B157" s="71">
        <f t="shared" si="9"/>
        <v>4.5999999999999917</v>
      </c>
      <c r="C157" s="4">
        <f t="shared" si="7"/>
        <v>0</v>
      </c>
      <c r="D157" s="4">
        <f t="shared" si="8"/>
        <v>0</v>
      </c>
    </row>
    <row r="158" spans="2:4" x14ac:dyDescent="0.25">
      <c r="B158" s="71">
        <f t="shared" si="9"/>
        <v>4.6499999999999915</v>
      </c>
      <c r="C158" s="4">
        <f t="shared" si="7"/>
        <v>0</v>
      </c>
      <c r="D158" s="4">
        <f t="shared" si="8"/>
        <v>0</v>
      </c>
    </row>
    <row r="159" spans="2:4" x14ac:dyDescent="0.25">
      <c r="B159" s="71">
        <f t="shared" si="9"/>
        <v>4.6999999999999913</v>
      </c>
      <c r="C159" s="4">
        <f t="shared" si="7"/>
        <v>0</v>
      </c>
      <c r="D159" s="4">
        <f t="shared" si="8"/>
        <v>0</v>
      </c>
    </row>
    <row r="160" spans="2:4" x14ac:dyDescent="0.25">
      <c r="B160" s="71">
        <f t="shared" si="9"/>
        <v>4.7499999999999911</v>
      </c>
      <c r="C160" s="4">
        <f t="shared" si="7"/>
        <v>0</v>
      </c>
      <c r="D160" s="4">
        <f t="shared" si="8"/>
        <v>0</v>
      </c>
    </row>
    <row r="161" spans="2:4" x14ac:dyDescent="0.25">
      <c r="B161" s="71">
        <f t="shared" si="9"/>
        <v>4.7999999999999909</v>
      </c>
      <c r="C161" s="4">
        <f t="shared" si="7"/>
        <v>0</v>
      </c>
      <c r="D161" s="4">
        <f t="shared" si="8"/>
        <v>0</v>
      </c>
    </row>
    <row r="162" spans="2:4" x14ac:dyDescent="0.25">
      <c r="B162" s="71">
        <f t="shared" si="9"/>
        <v>4.8499999999999908</v>
      </c>
      <c r="C162" s="4">
        <f t="shared" si="7"/>
        <v>0</v>
      </c>
      <c r="D162" s="4">
        <f t="shared" si="8"/>
        <v>0</v>
      </c>
    </row>
    <row r="163" spans="2:4" x14ac:dyDescent="0.25">
      <c r="B163" s="71">
        <f t="shared" si="9"/>
        <v>4.8999999999999906</v>
      </c>
      <c r="C163" s="4">
        <f t="shared" si="7"/>
        <v>0</v>
      </c>
      <c r="D163" s="4">
        <f t="shared" si="8"/>
        <v>0</v>
      </c>
    </row>
    <row r="164" spans="2:4" x14ac:dyDescent="0.25">
      <c r="B164" s="71">
        <f t="shared" si="9"/>
        <v>4.9499999999999904</v>
      </c>
      <c r="C164" s="4">
        <f t="shared" si="7"/>
        <v>0</v>
      </c>
      <c r="D164" s="4">
        <f t="shared" si="8"/>
        <v>0</v>
      </c>
    </row>
    <row r="165" spans="2:4" x14ac:dyDescent="0.25">
      <c r="B165" s="71">
        <f t="shared" si="9"/>
        <v>4.9999999999999902</v>
      </c>
      <c r="C165" s="4">
        <f t="shared" si="7"/>
        <v>0</v>
      </c>
      <c r="D165" s="4">
        <f t="shared" si="8"/>
        <v>0</v>
      </c>
    </row>
    <row r="166" spans="2:4" x14ac:dyDescent="0.25">
      <c r="B166" s="71">
        <f t="shared" si="9"/>
        <v>5.0499999999999901</v>
      </c>
      <c r="C166" s="4">
        <f t="shared" si="7"/>
        <v>0</v>
      </c>
      <c r="D166" s="4">
        <f t="shared" si="8"/>
        <v>0</v>
      </c>
    </row>
    <row r="167" spans="2:4" x14ac:dyDescent="0.25">
      <c r="B167" s="71">
        <f t="shared" si="9"/>
        <v>5.0999999999999899</v>
      </c>
      <c r="C167" s="4">
        <f t="shared" si="7"/>
        <v>0</v>
      </c>
      <c r="D167" s="4">
        <f t="shared" si="8"/>
        <v>0</v>
      </c>
    </row>
    <row r="168" spans="2:4" x14ac:dyDescent="0.25">
      <c r="B168" s="71">
        <f t="shared" si="9"/>
        <v>5.1499999999999897</v>
      </c>
      <c r="C168" s="4">
        <f t="shared" si="7"/>
        <v>0</v>
      </c>
      <c r="D168" s="4">
        <f t="shared" si="8"/>
        <v>0</v>
      </c>
    </row>
    <row r="169" spans="2:4" x14ac:dyDescent="0.25">
      <c r="B169" s="71">
        <f t="shared" si="9"/>
        <v>5.1999999999999895</v>
      </c>
      <c r="C169" s="4">
        <f t="shared" si="7"/>
        <v>0</v>
      </c>
      <c r="D169" s="4">
        <f t="shared" si="8"/>
        <v>0</v>
      </c>
    </row>
    <row r="170" spans="2:4" x14ac:dyDescent="0.25">
      <c r="B170" s="71">
        <f t="shared" si="9"/>
        <v>5.2499999999999893</v>
      </c>
      <c r="C170" s="4">
        <f t="shared" si="7"/>
        <v>0</v>
      </c>
      <c r="D170" s="4">
        <f t="shared" si="8"/>
        <v>0</v>
      </c>
    </row>
    <row r="171" spans="2:4" x14ac:dyDescent="0.25">
      <c r="B171" s="71">
        <f t="shared" si="9"/>
        <v>5.2999999999999892</v>
      </c>
      <c r="C171" s="4">
        <f t="shared" si="7"/>
        <v>0</v>
      </c>
      <c r="D171" s="4">
        <f t="shared" si="8"/>
        <v>0</v>
      </c>
    </row>
    <row r="172" spans="2:4" x14ac:dyDescent="0.25">
      <c r="B172" s="71">
        <f t="shared" si="9"/>
        <v>5.349999999999989</v>
      </c>
      <c r="C172" s="4">
        <f t="shared" si="7"/>
        <v>0</v>
      </c>
      <c r="D172" s="4">
        <f t="shared" si="8"/>
        <v>0</v>
      </c>
    </row>
    <row r="173" spans="2:4" x14ac:dyDescent="0.25">
      <c r="B173" s="71">
        <f t="shared" si="9"/>
        <v>5.3999999999999888</v>
      </c>
      <c r="C173" s="4">
        <f t="shared" si="7"/>
        <v>0</v>
      </c>
      <c r="D173" s="4">
        <f t="shared" si="8"/>
        <v>0</v>
      </c>
    </row>
    <row r="174" spans="2:4" x14ac:dyDescent="0.25">
      <c r="B174" s="71">
        <f t="shared" si="9"/>
        <v>5.4499999999999886</v>
      </c>
      <c r="C174" s="4">
        <f t="shared" si="7"/>
        <v>0</v>
      </c>
      <c r="D174" s="4">
        <f t="shared" si="8"/>
        <v>0</v>
      </c>
    </row>
    <row r="175" spans="2:4" x14ac:dyDescent="0.25">
      <c r="B175" s="71">
        <f t="shared" si="9"/>
        <v>5.4999999999999885</v>
      </c>
      <c r="C175" s="4">
        <f t="shared" si="7"/>
        <v>0</v>
      </c>
      <c r="D175" s="4">
        <f t="shared" si="8"/>
        <v>0</v>
      </c>
    </row>
    <row r="176" spans="2:4" x14ac:dyDescent="0.25">
      <c r="B176" s="71">
        <f t="shared" si="9"/>
        <v>5.5499999999999883</v>
      </c>
      <c r="C176" s="4">
        <f t="shared" si="7"/>
        <v>0</v>
      </c>
      <c r="D176" s="4">
        <f t="shared" si="8"/>
        <v>0</v>
      </c>
    </row>
    <row r="177" spans="2:4" x14ac:dyDescent="0.25">
      <c r="B177" s="71">
        <f t="shared" si="9"/>
        <v>5.5999999999999881</v>
      </c>
      <c r="C177" s="4">
        <f t="shared" si="7"/>
        <v>0</v>
      </c>
      <c r="D177" s="4">
        <f t="shared" si="8"/>
        <v>0</v>
      </c>
    </row>
    <row r="178" spans="2:4" x14ac:dyDescent="0.25">
      <c r="B178" s="71">
        <f t="shared" si="9"/>
        <v>5.6499999999999879</v>
      </c>
      <c r="C178" s="4">
        <f t="shared" si="7"/>
        <v>0</v>
      </c>
      <c r="D178" s="4">
        <f t="shared" si="8"/>
        <v>0</v>
      </c>
    </row>
    <row r="179" spans="2:4" x14ac:dyDescent="0.25">
      <c r="B179" s="71">
        <f t="shared" si="9"/>
        <v>5.6999999999999877</v>
      </c>
      <c r="C179" s="4">
        <f t="shared" si="7"/>
        <v>0</v>
      </c>
      <c r="D179" s="4">
        <f t="shared" si="8"/>
        <v>0</v>
      </c>
    </row>
    <row r="180" spans="2:4" x14ac:dyDescent="0.25">
      <c r="B180" s="71">
        <f t="shared" si="9"/>
        <v>5.7499999999999876</v>
      </c>
      <c r="C180" s="4">
        <f t="shared" si="7"/>
        <v>0</v>
      </c>
      <c r="D180" s="4">
        <f t="shared" si="8"/>
        <v>0</v>
      </c>
    </row>
    <row r="181" spans="2:4" x14ac:dyDescent="0.25">
      <c r="B181" s="71">
        <f t="shared" si="9"/>
        <v>5.7999999999999874</v>
      </c>
      <c r="C181" s="4">
        <f t="shared" si="7"/>
        <v>0</v>
      </c>
      <c r="D181" s="4">
        <f t="shared" si="8"/>
        <v>0</v>
      </c>
    </row>
    <row r="182" spans="2:4" x14ac:dyDescent="0.25">
      <c r="B182" s="71">
        <f t="shared" si="9"/>
        <v>5.8499999999999872</v>
      </c>
      <c r="C182" s="4">
        <f t="shared" si="7"/>
        <v>0</v>
      </c>
      <c r="D182" s="4">
        <f t="shared" si="8"/>
        <v>0</v>
      </c>
    </row>
    <row r="183" spans="2:4" x14ac:dyDescent="0.25">
      <c r="B183" s="71">
        <f t="shared" si="9"/>
        <v>5.899999999999987</v>
      </c>
      <c r="C183" s="4">
        <f t="shared" si="7"/>
        <v>0</v>
      </c>
      <c r="D183" s="4">
        <f t="shared" si="8"/>
        <v>0</v>
      </c>
    </row>
    <row r="184" spans="2:4" x14ac:dyDescent="0.25">
      <c r="B184" s="71">
        <f t="shared" si="9"/>
        <v>5.9499999999999869</v>
      </c>
      <c r="C184" s="4">
        <f t="shared" si="7"/>
        <v>0</v>
      </c>
      <c r="D184" s="4">
        <f t="shared" si="8"/>
        <v>0</v>
      </c>
    </row>
    <row r="185" spans="2:4" x14ac:dyDescent="0.25">
      <c r="B185" s="71">
        <f t="shared" si="9"/>
        <v>5.9999999999999867</v>
      </c>
      <c r="C185" s="4">
        <f t="shared" si="7"/>
        <v>0</v>
      </c>
      <c r="D185" s="4">
        <f t="shared" si="8"/>
        <v>0</v>
      </c>
    </row>
    <row r="186" spans="2:4" x14ac:dyDescent="0.25">
      <c r="B186" s="71">
        <f t="shared" si="9"/>
        <v>6.0499999999999865</v>
      </c>
      <c r="C186" s="4">
        <f t="shared" si="7"/>
        <v>0</v>
      </c>
      <c r="D186" s="4">
        <f t="shared" si="8"/>
        <v>0</v>
      </c>
    </row>
    <row r="187" spans="2:4" x14ac:dyDescent="0.25">
      <c r="B187" s="71">
        <f t="shared" si="9"/>
        <v>6.0999999999999863</v>
      </c>
      <c r="C187" s="4">
        <f t="shared" si="7"/>
        <v>0</v>
      </c>
      <c r="D187" s="4">
        <f t="shared" si="8"/>
        <v>0</v>
      </c>
    </row>
    <row r="188" spans="2:4" x14ac:dyDescent="0.25">
      <c r="B188" s="71">
        <f t="shared" si="9"/>
        <v>6.1499999999999861</v>
      </c>
      <c r="C188" s="4">
        <f t="shared" si="7"/>
        <v>0</v>
      </c>
      <c r="D188" s="4">
        <f t="shared" si="8"/>
        <v>0</v>
      </c>
    </row>
    <row r="189" spans="2:4" x14ac:dyDescent="0.25">
      <c r="B189" s="71">
        <f t="shared" si="9"/>
        <v>6.199999999999986</v>
      </c>
      <c r="C189" s="4">
        <f t="shared" si="7"/>
        <v>0</v>
      </c>
      <c r="D189" s="4">
        <f t="shared" si="8"/>
        <v>0</v>
      </c>
    </row>
    <row r="190" spans="2:4" x14ac:dyDescent="0.25">
      <c r="B190" s="71">
        <f t="shared" si="9"/>
        <v>6.2499999999999858</v>
      </c>
      <c r="C190" s="4">
        <f t="shared" si="7"/>
        <v>0</v>
      </c>
      <c r="D190" s="4">
        <f t="shared" si="8"/>
        <v>0</v>
      </c>
    </row>
    <row r="191" spans="2:4" x14ac:dyDescent="0.25">
      <c r="B191" s="71">
        <f t="shared" si="9"/>
        <v>6.2999999999999856</v>
      </c>
      <c r="C191" s="4">
        <f t="shared" si="7"/>
        <v>0</v>
      </c>
      <c r="D191" s="4">
        <f t="shared" si="8"/>
        <v>0</v>
      </c>
    </row>
    <row r="192" spans="2:4" x14ac:dyDescent="0.25">
      <c r="B192" s="71">
        <f t="shared" si="9"/>
        <v>6.3499999999999854</v>
      </c>
      <c r="C192" s="4">
        <f t="shared" si="7"/>
        <v>0</v>
      </c>
      <c r="D192" s="4">
        <f t="shared" si="8"/>
        <v>0</v>
      </c>
    </row>
    <row r="193" spans="2:4" x14ac:dyDescent="0.25">
      <c r="B193" s="71">
        <f t="shared" si="9"/>
        <v>6.3999999999999853</v>
      </c>
      <c r="C193" s="4">
        <f t="shared" ref="C193:C256" si="10">_xlfn.NORM.DIST(B193,$C$45,C$46,FALSE)*G1_Weight</f>
        <v>0</v>
      </c>
      <c r="D193" s="4">
        <f t="shared" ref="D193:D256" si="11">_xlfn.NORM.DIST(B193,D$45,D$46,FALSE)*G2_Weight</f>
        <v>0</v>
      </c>
    </row>
    <row r="194" spans="2:4" x14ac:dyDescent="0.25">
      <c r="B194" s="71">
        <f t="shared" ref="B194:B257" si="12">B193+$A$65</f>
        <v>6.4499999999999851</v>
      </c>
      <c r="C194" s="4">
        <f t="shared" si="10"/>
        <v>0</v>
      </c>
      <c r="D194" s="4">
        <f t="shared" si="11"/>
        <v>0</v>
      </c>
    </row>
    <row r="195" spans="2:4" x14ac:dyDescent="0.25">
      <c r="B195" s="71">
        <f t="shared" si="12"/>
        <v>6.4999999999999849</v>
      </c>
      <c r="C195" s="4">
        <f t="shared" si="10"/>
        <v>0</v>
      </c>
      <c r="D195" s="4">
        <f t="shared" si="11"/>
        <v>0</v>
      </c>
    </row>
    <row r="196" spans="2:4" x14ac:dyDescent="0.25">
      <c r="B196" s="71">
        <f t="shared" si="12"/>
        <v>6.5499999999999847</v>
      </c>
      <c r="C196" s="4">
        <f t="shared" si="10"/>
        <v>0</v>
      </c>
      <c r="D196" s="4">
        <f t="shared" si="11"/>
        <v>0</v>
      </c>
    </row>
    <row r="197" spans="2:4" x14ac:dyDescent="0.25">
      <c r="B197" s="71">
        <f t="shared" si="12"/>
        <v>6.5999999999999845</v>
      </c>
      <c r="C197" s="4">
        <f t="shared" si="10"/>
        <v>0</v>
      </c>
      <c r="D197" s="4">
        <f t="shared" si="11"/>
        <v>0</v>
      </c>
    </row>
    <row r="198" spans="2:4" x14ac:dyDescent="0.25">
      <c r="B198" s="71">
        <f t="shared" si="12"/>
        <v>6.6499999999999844</v>
      </c>
      <c r="C198" s="4">
        <f t="shared" si="10"/>
        <v>0</v>
      </c>
      <c r="D198" s="4">
        <f t="shared" si="11"/>
        <v>0</v>
      </c>
    </row>
    <row r="199" spans="2:4" x14ac:dyDescent="0.25">
      <c r="B199" s="71">
        <f t="shared" si="12"/>
        <v>6.6999999999999842</v>
      </c>
      <c r="C199" s="4">
        <f t="shared" si="10"/>
        <v>0</v>
      </c>
      <c r="D199" s="4">
        <f t="shared" si="11"/>
        <v>0</v>
      </c>
    </row>
    <row r="200" spans="2:4" x14ac:dyDescent="0.25">
      <c r="B200" s="71">
        <f t="shared" si="12"/>
        <v>6.749999999999984</v>
      </c>
      <c r="C200" s="4">
        <f t="shared" si="10"/>
        <v>0</v>
      </c>
      <c r="D200" s="4">
        <f t="shared" si="11"/>
        <v>0</v>
      </c>
    </row>
    <row r="201" spans="2:4" x14ac:dyDescent="0.25">
      <c r="B201" s="71">
        <f t="shared" si="12"/>
        <v>6.7999999999999838</v>
      </c>
      <c r="C201" s="4">
        <f t="shared" si="10"/>
        <v>0</v>
      </c>
      <c r="D201" s="4">
        <f t="shared" si="11"/>
        <v>0</v>
      </c>
    </row>
    <row r="202" spans="2:4" x14ac:dyDescent="0.25">
      <c r="B202" s="71">
        <f t="shared" si="12"/>
        <v>6.8499999999999837</v>
      </c>
      <c r="C202" s="4">
        <f t="shared" si="10"/>
        <v>0</v>
      </c>
      <c r="D202" s="4">
        <f t="shared" si="11"/>
        <v>0</v>
      </c>
    </row>
    <row r="203" spans="2:4" x14ac:dyDescent="0.25">
      <c r="B203" s="71">
        <f t="shared" si="12"/>
        <v>6.8999999999999835</v>
      </c>
      <c r="C203" s="4">
        <f t="shared" si="10"/>
        <v>0</v>
      </c>
      <c r="D203" s="4">
        <f t="shared" si="11"/>
        <v>0</v>
      </c>
    </row>
    <row r="204" spans="2:4" x14ac:dyDescent="0.25">
      <c r="B204" s="71">
        <f t="shared" si="12"/>
        <v>6.9499999999999833</v>
      </c>
      <c r="C204" s="4">
        <f t="shared" si="10"/>
        <v>0</v>
      </c>
      <c r="D204" s="4">
        <f t="shared" si="11"/>
        <v>0</v>
      </c>
    </row>
    <row r="205" spans="2:4" x14ac:dyDescent="0.25">
      <c r="B205" s="71">
        <f t="shared" si="12"/>
        <v>6.9999999999999831</v>
      </c>
      <c r="C205" s="4">
        <f t="shared" si="10"/>
        <v>0</v>
      </c>
      <c r="D205" s="4">
        <f t="shared" si="11"/>
        <v>0</v>
      </c>
    </row>
    <row r="206" spans="2:4" x14ac:dyDescent="0.25">
      <c r="B206" s="71">
        <f t="shared" si="12"/>
        <v>7.0499999999999829</v>
      </c>
      <c r="C206" s="4">
        <f t="shared" si="10"/>
        <v>0</v>
      </c>
      <c r="D206" s="4">
        <f t="shared" si="11"/>
        <v>0</v>
      </c>
    </row>
    <row r="207" spans="2:4" x14ac:dyDescent="0.25">
      <c r="B207" s="71">
        <f t="shared" si="12"/>
        <v>7.0999999999999828</v>
      </c>
      <c r="C207" s="4">
        <f t="shared" si="10"/>
        <v>0</v>
      </c>
      <c r="D207" s="4">
        <f t="shared" si="11"/>
        <v>0</v>
      </c>
    </row>
    <row r="208" spans="2:4" x14ac:dyDescent="0.25">
      <c r="B208" s="71">
        <f t="shared" si="12"/>
        <v>7.1499999999999826</v>
      </c>
      <c r="C208" s="4">
        <f t="shared" si="10"/>
        <v>0</v>
      </c>
      <c r="D208" s="4">
        <f t="shared" si="11"/>
        <v>0</v>
      </c>
    </row>
    <row r="209" spans="2:4" x14ac:dyDescent="0.25">
      <c r="B209" s="71">
        <f t="shared" si="12"/>
        <v>7.1999999999999824</v>
      </c>
      <c r="C209" s="4">
        <f t="shared" si="10"/>
        <v>0</v>
      </c>
      <c r="D209" s="4">
        <f t="shared" si="11"/>
        <v>0</v>
      </c>
    </row>
    <row r="210" spans="2:4" x14ac:dyDescent="0.25">
      <c r="B210" s="71">
        <f t="shared" si="12"/>
        <v>7.2499999999999822</v>
      </c>
      <c r="C210" s="4">
        <f t="shared" si="10"/>
        <v>0</v>
      </c>
      <c r="D210" s="4">
        <f t="shared" si="11"/>
        <v>0</v>
      </c>
    </row>
    <row r="211" spans="2:4" x14ac:dyDescent="0.25">
      <c r="B211" s="71">
        <f t="shared" si="12"/>
        <v>7.2999999999999821</v>
      </c>
      <c r="C211" s="4">
        <f t="shared" si="10"/>
        <v>0</v>
      </c>
      <c r="D211" s="4">
        <f t="shared" si="11"/>
        <v>0</v>
      </c>
    </row>
    <row r="212" spans="2:4" x14ac:dyDescent="0.25">
      <c r="B212" s="71">
        <f t="shared" si="12"/>
        <v>7.3499999999999819</v>
      </c>
      <c r="C212" s="4">
        <f t="shared" si="10"/>
        <v>0</v>
      </c>
      <c r="D212" s="4">
        <f t="shared" si="11"/>
        <v>0</v>
      </c>
    </row>
    <row r="213" spans="2:4" x14ac:dyDescent="0.25">
      <c r="B213" s="71">
        <f t="shared" si="12"/>
        <v>7.3999999999999817</v>
      </c>
      <c r="C213" s="4">
        <f t="shared" si="10"/>
        <v>0</v>
      </c>
      <c r="D213" s="4">
        <f t="shared" si="11"/>
        <v>0</v>
      </c>
    </row>
    <row r="214" spans="2:4" x14ac:dyDescent="0.25">
      <c r="B214" s="71">
        <f t="shared" si="12"/>
        <v>7.4499999999999815</v>
      </c>
      <c r="C214" s="4">
        <f t="shared" si="10"/>
        <v>0</v>
      </c>
      <c r="D214" s="4">
        <f t="shared" si="11"/>
        <v>0</v>
      </c>
    </row>
    <row r="215" spans="2:4" x14ac:dyDescent="0.25">
      <c r="B215" s="71">
        <f t="shared" si="12"/>
        <v>7.4999999999999813</v>
      </c>
      <c r="C215" s="4">
        <f t="shared" si="10"/>
        <v>0</v>
      </c>
      <c r="D215" s="4">
        <f t="shared" si="11"/>
        <v>0</v>
      </c>
    </row>
    <row r="216" spans="2:4" x14ac:dyDescent="0.25">
      <c r="B216" s="71">
        <f t="shared" si="12"/>
        <v>7.5499999999999812</v>
      </c>
      <c r="C216" s="4">
        <f t="shared" si="10"/>
        <v>0</v>
      </c>
      <c r="D216" s="4">
        <f t="shared" si="11"/>
        <v>0</v>
      </c>
    </row>
    <row r="217" spans="2:4" x14ac:dyDescent="0.25">
      <c r="B217" s="71">
        <f t="shared" si="12"/>
        <v>7.599999999999981</v>
      </c>
      <c r="C217" s="4">
        <f t="shared" si="10"/>
        <v>0</v>
      </c>
      <c r="D217" s="4">
        <f t="shared" si="11"/>
        <v>0</v>
      </c>
    </row>
    <row r="218" spans="2:4" x14ac:dyDescent="0.25">
      <c r="B218" s="71">
        <f t="shared" si="12"/>
        <v>7.6499999999999808</v>
      </c>
      <c r="C218" s="4">
        <f t="shared" si="10"/>
        <v>0</v>
      </c>
      <c r="D218" s="4">
        <f t="shared" si="11"/>
        <v>0</v>
      </c>
    </row>
    <row r="219" spans="2:4" x14ac:dyDescent="0.25">
      <c r="B219" s="71">
        <f t="shared" si="12"/>
        <v>7.6999999999999806</v>
      </c>
      <c r="C219" s="4">
        <f t="shared" si="10"/>
        <v>0</v>
      </c>
      <c r="D219" s="4">
        <f t="shared" si="11"/>
        <v>0</v>
      </c>
    </row>
    <row r="220" spans="2:4" x14ac:dyDescent="0.25">
      <c r="B220" s="71">
        <f t="shared" si="12"/>
        <v>7.7499999999999805</v>
      </c>
      <c r="C220" s="4">
        <f t="shared" si="10"/>
        <v>0</v>
      </c>
      <c r="D220" s="4">
        <f t="shared" si="11"/>
        <v>0</v>
      </c>
    </row>
    <row r="221" spans="2:4" x14ac:dyDescent="0.25">
      <c r="B221" s="71">
        <f t="shared" si="12"/>
        <v>7.7999999999999803</v>
      </c>
      <c r="C221" s="4">
        <f t="shared" si="10"/>
        <v>0</v>
      </c>
      <c r="D221" s="4">
        <f t="shared" si="11"/>
        <v>0</v>
      </c>
    </row>
    <row r="222" spans="2:4" x14ac:dyDescent="0.25">
      <c r="B222" s="71">
        <f t="shared" si="12"/>
        <v>7.8499999999999801</v>
      </c>
      <c r="C222" s="4">
        <f t="shared" si="10"/>
        <v>0</v>
      </c>
      <c r="D222" s="4">
        <f t="shared" si="11"/>
        <v>0</v>
      </c>
    </row>
    <row r="223" spans="2:4" x14ac:dyDescent="0.25">
      <c r="B223" s="71">
        <f t="shared" si="12"/>
        <v>7.8999999999999799</v>
      </c>
      <c r="C223" s="4">
        <f t="shared" si="10"/>
        <v>0</v>
      </c>
      <c r="D223" s="4">
        <f t="shared" si="11"/>
        <v>0</v>
      </c>
    </row>
    <row r="224" spans="2:4" x14ac:dyDescent="0.25">
      <c r="B224" s="71">
        <f t="shared" si="12"/>
        <v>7.9499999999999797</v>
      </c>
      <c r="C224" s="4">
        <f t="shared" si="10"/>
        <v>0</v>
      </c>
      <c r="D224" s="4">
        <f t="shared" si="11"/>
        <v>0</v>
      </c>
    </row>
    <row r="225" spans="2:4" x14ac:dyDescent="0.25">
      <c r="B225" s="71">
        <f t="shared" si="12"/>
        <v>7.9999999999999796</v>
      </c>
      <c r="C225" s="4">
        <f t="shared" si="10"/>
        <v>0</v>
      </c>
      <c r="D225" s="4">
        <f t="shared" si="11"/>
        <v>0</v>
      </c>
    </row>
    <row r="226" spans="2:4" x14ac:dyDescent="0.25">
      <c r="B226" s="71">
        <f t="shared" si="12"/>
        <v>8.0499999999999794</v>
      </c>
      <c r="C226" s="4">
        <f t="shared" si="10"/>
        <v>0</v>
      </c>
      <c r="D226" s="4">
        <f t="shared" si="11"/>
        <v>0</v>
      </c>
    </row>
    <row r="227" spans="2:4" x14ac:dyDescent="0.25">
      <c r="B227" s="71">
        <f t="shared" si="12"/>
        <v>8.0999999999999801</v>
      </c>
      <c r="C227" s="4">
        <f t="shared" si="10"/>
        <v>0</v>
      </c>
      <c r="D227" s="4">
        <f t="shared" si="11"/>
        <v>0</v>
      </c>
    </row>
    <row r="228" spans="2:4" x14ac:dyDescent="0.25">
      <c r="B228" s="71">
        <f t="shared" si="12"/>
        <v>8.1499999999999808</v>
      </c>
      <c r="C228" s="4">
        <f t="shared" si="10"/>
        <v>0</v>
      </c>
      <c r="D228" s="4">
        <f t="shared" si="11"/>
        <v>0</v>
      </c>
    </row>
    <row r="229" spans="2:4" x14ac:dyDescent="0.25">
      <c r="B229" s="71">
        <f t="shared" si="12"/>
        <v>8.1999999999999815</v>
      </c>
      <c r="C229" s="4">
        <f t="shared" si="10"/>
        <v>0</v>
      </c>
      <c r="D229" s="4">
        <f t="shared" si="11"/>
        <v>0</v>
      </c>
    </row>
    <row r="230" spans="2:4" x14ac:dyDescent="0.25">
      <c r="B230" s="71">
        <f t="shared" si="12"/>
        <v>8.2499999999999822</v>
      </c>
      <c r="C230" s="4">
        <f t="shared" si="10"/>
        <v>0</v>
      </c>
      <c r="D230" s="4">
        <f t="shared" si="11"/>
        <v>0</v>
      </c>
    </row>
    <row r="231" spans="2:4" x14ac:dyDescent="0.25">
      <c r="B231" s="71">
        <f t="shared" si="12"/>
        <v>8.2999999999999829</v>
      </c>
      <c r="C231" s="4">
        <f t="shared" si="10"/>
        <v>0</v>
      </c>
      <c r="D231" s="4">
        <f t="shared" si="11"/>
        <v>0</v>
      </c>
    </row>
    <row r="232" spans="2:4" x14ac:dyDescent="0.25">
      <c r="B232" s="71">
        <f t="shared" si="12"/>
        <v>8.3499999999999837</v>
      </c>
      <c r="C232" s="4">
        <f t="shared" si="10"/>
        <v>0</v>
      </c>
      <c r="D232" s="4">
        <f t="shared" si="11"/>
        <v>0</v>
      </c>
    </row>
    <row r="233" spans="2:4" x14ac:dyDescent="0.25">
      <c r="B233" s="71">
        <f t="shared" si="12"/>
        <v>8.3999999999999844</v>
      </c>
      <c r="C233" s="4">
        <f t="shared" si="10"/>
        <v>0</v>
      </c>
      <c r="D233" s="4">
        <f t="shared" si="11"/>
        <v>0</v>
      </c>
    </row>
    <row r="234" spans="2:4" x14ac:dyDescent="0.25">
      <c r="B234" s="71">
        <f t="shared" si="12"/>
        <v>8.4499999999999851</v>
      </c>
      <c r="C234" s="4">
        <f t="shared" si="10"/>
        <v>0</v>
      </c>
      <c r="D234" s="4">
        <f t="shared" si="11"/>
        <v>0</v>
      </c>
    </row>
    <row r="235" spans="2:4" x14ac:dyDescent="0.25">
      <c r="B235" s="71">
        <f t="shared" si="12"/>
        <v>8.4999999999999858</v>
      </c>
      <c r="C235" s="4">
        <f t="shared" si="10"/>
        <v>0</v>
      </c>
      <c r="D235" s="4">
        <f t="shared" si="11"/>
        <v>0</v>
      </c>
    </row>
    <row r="236" spans="2:4" x14ac:dyDescent="0.25">
      <c r="B236" s="71">
        <f t="shared" si="12"/>
        <v>8.5499999999999865</v>
      </c>
      <c r="C236" s="4">
        <f t="shared" si="10"/>
        <v>0</v>
      </c>
      <c r="D236" s="4">
        <f t="shared" si="11"/>
        <v>0</v>
      </c>
    </row>
    <row r="237" spans="2:4" x14ac:dyDescent="0.25">
      <c r="B237" s="71">
        <f t="shared" si="12"/>
        <v>8.5999999999999872</v>
      </c>
      <c r="C237" s="4">
        <f t="shared" si="10"/>
        <v>0</v>
      </c>
      <c r="D237" s="4">
        <f t="shared" si="11"/>
        <v>0</v>
      </c>
    </row>
    <row r="238" spans="2:4" x14ac:dyDescent="0.25">
      <c r="B238" s="71">
        <f t="shared" si="12"/>
        <v>8.6499999999999879</v>
      </c>
      <c r="C238" s="4">
        <f t="shared" si="10"/>
        <v>0</v>
      </c>
      <c r="D238" s="4">
        <f t="shared" si="11"/>
        <v>0</v>
      </c>
    </row>
    <row r="239" spans="2:4" x14ac:dyDescent="0.25">
      <c r="B239" s="71">
        <f t="shared" si="12"/>
        <v>8.6999999999999886</v>
      </c>
      <c r="C239" s="4">
        <f t="shared" si="10"/>
        <v>0</v>
      </c>
      <c r="D239" s="4">
        <f t="shared" si="11"/>
        <v>0</v>
      </c>
    </row>
    <row r="240" spans="2:4" x14ac:dyDescent="0.25">
      <c r="B240" s="71">
        <f t="shared" si="12"/>
        <v>8.7499999999999893</v>
      </c>
      <c r="C240" s="4">
        <f t="shared" si="10"/>
        <v>0</v>
      </c>
      <c r="D240" s="4">
        <f t="shared" si="11"/>
        <v>0</v>
      </c>
    </row>
    <row r="241" spans="2:4" x14ac:dyDescent="0.25">
      <c r="B241" s="71">
        <f t="shared" si="12"/>
        <v>8.7999999999999901</v>
      </c>
      <c r="C241" s="4">
        <f t="shared" si="10"/>
        <v>0</v>
      </c>
      <c r="D241" s="4">
        <f t="shared" si="11"/>
        <v>0</v>
      </c>
    </row>
    <row r="242" spans="2:4" x14ac:dyDescent="0.25">
      <c r="B242" s="71">
        <f t="shared" si="12"/>
        <v>8.8499999999999908</v>
      </c>
      <c r="C242" s="4">
        <f t="shared" si="10"/>
        <v>0</v>
      </c>
      <c r="D242" s="4">
        <f t="shared" si="11"/>
        <v>0</v>
      </c>
    </row>
    <row r="243" spans="2:4" x14ac:dyDescent="0.25">
      <c r="B243" s="71">
        <f t="shared" si="12"/>
        <v>8.8999999999999915</v>
      </c>
      <c r="C243" s="4">
        <f t="shared" si="10"/>
        <v>0</v>
      </c>
      <c r="D243" s="4">
        <f t="shared" si="11"/>
        <v>0</v>
      </c>
    </row>
    <row r="244" spans="2:4" x14ac:dyDescent="0.25">
      <c r="B244" s="71">
        <f t="shared" si="12"/>
        <v>8.9499999999999922</v>
      </c>
      <c r="C244" s="4">
        <f t="shared" si="10"/>
        <v>0</v>
      </c>
      <c r="D244" s="4">
        <f t="shared" si="11"/>
        <v>0</v>
      </c>
    </row>
    <row r="245" spans="2:4" x14ac:dyDescent="0.25">
      <c r="B245" s="71">
        <f t="shared" si="12"/>
        <v>8.9999999999999929</v>
      </c>
      <c r="C245" s="4">
        <f t="shared" si="10"/>
        <v>0</v>
      </c>
      <c r="D245" s="4">
        <f t="shared" si="11"/>
        <v>0</v>
      </c>
    </row>
    <row r="246" spans="2:4" x14ac:dyDescent="0.25">
      <c r="B246" s="71">
        <f t="shared" si="12"/>
        <v>9.0499999999999936</v>
      </c>
      <c r="C246" s="4">
        <f t="shared" si="10"/>
        <v>0</v>
      </c>
      <c r="D246" s="4">
        <f t="shared" si="11"/>
        <v>0</v>
      </c>
    </row>
    <row r="247" spans="2:4" x14ac:dyDescent="0.25">
      <c r="B247" s="71">
        <f t="shared" si="12"/>
        <v>9.0999999999999943</v>
      </c>
      <c r="C247" s="4">
        <f t="shared" si="10"/>
        <v>0</v>
      </c>
      <c r="D247" s="4">
        <f t="shared" si="11"/>
        <v>0</v>
      </c>
    </row>
    <row r="248" spans="2:4" x14ac:dyDescent="0.25">
      <c r="B248" s="71">
        <f t="shared" si="12"/>
        <v>9.149999999999995</v>
      </c>
      <c r="C248" s="4">
        <f t="shared" si="10"/>
        <v>0</v>
      </c>
      <c r="D248" s="4">
        <f t="shared" si="11"/>
        <v>0</v>
      </c>
    </row>
    <row r="249" spans="2:4" x14ac:dyDescent="0.25">
      <c r="B249" s="71">
        <f t="shared" si="12"/>
        <v>9.1999999999999957</v>
      </c>
      <c r="C249" s="4">
        <f t="shared" si="10"/>
        <v>0</v>
      </c>
      <c r="D249" s="4">
        <f t="shared" si="11"/>
        <v>0</v>
      </c>
    </row>
    <row r="250" spans="2:4" x14ac:dyDescent="0.25">
      <c r="B250" s="71">
        <f t="shared" si="12"/>
        <v>9.2499999999999964</v>
      </c>
      <c r="C250" s="4">
        <f t="shared" si="10"/>
        <v>0</v>
      </c>
      <c r="D250" s="4">
        <f t="shared" si="11"/>
        <v>0</v>
      </c>
    </row>
    <row r="251" spans="2:4" x14ac:dyDescent="0.25">
      <c r="B251" s="71">
        <f t="shared" si="12"/>
        <v>9.2999999999999972</v>
      </c>
      <c r="C251" s="4">
        <f t="shared" si="10"/>
        <v>0</v>
      </c>
      <c r="D251" s="4">
        <f t="shared" si="11"/>
        <v>0</v>
      </c>
    </row>
    <row r="252" spans="2:4" x14ac:dyDescent="0.25">
      <c r="B252" s="71">
        <f t="shared" si="12"/>
        <v>9.3499999999999979</v>
      </c>
      <c r="C252" s="4">
        <f t="shared" si="10"/>
        <v>0</v>
      </c>
      <c r="D252" s="4">
        <f t="shared" si="11"/>
        <v>0</v>
      </c>
    </row>
    <row r="253" spans="2:4" x14ac:dyDescent="0.25">
      <c r="B253" s="71">
        <f t="shared" si="12"/>
        <v>9.3999999999999986</v>
      </c>
      <c r="C253" s="4">
        <f t="shared" si="10"/>
        <v>0</v>
      </c>
      <c r="D253" s="4">
        <f t="shared" si="11"/>
        <v>0</v>
      </c>
    </row>
    <row r="254" spans="2:4" x14ac:dyDescent="0.25">
      <c r="B254" s="71">
        <f t="shared" si="12"/>
        <v>9.4499999999999993</v>
      </c>
      <c r="C254" s="4">
        <f t="shared" si="10"/>
        <v>0</v>
      </c>
      <c r="D254" s="4">
        <f t="shared" si="11"/>
        <v>0</v>
      </c>
    </row>
    <row r="255" spans="2:4" x14ac:dyDescent="0.25">
      <c r="B255" s="71">
        <f t="shared" si="12"/>
        <v>9.5</v>
      </c>
      <c r="C255" s="4">
        <f t="shared" si="10"/>
        <v>0</v>
      </c>
      <c r="D255" s="4">
        <f t="shared" si="11"/>
        <v>0</v>
      </c>
    </row>
    <row r="256" spans="2:4" x14ac:dyDescent="0.25">
      <c r="B256" s="71">
        <f t="shared" si="12"/>
        <v>9.5500000000000007</v>
      </c>
      <c r="C256" s="4">
        <f t="shared" si="10"/>
        <v>0</v>
      </c>
      <c r="D256" s="4">
        <f t="shared" si="11"/>
        <v>0</v>
      </c>
    </row>
    <row r="257" spans="2:4" x14ac:dyDescent="0.25">
      <c r="B257" s="71">
        <f t="shared" si="12"/>
        <v>9.6000000000000014</v>
      </c>
      <c r="C257" s="4">
        <f t="shared" ref="C257:C320" si="13">_xlfn.NORM.DIST(B257,$C$45,C$46,FALSE)*G1_Weight</f>
        <v>0</v>
      </c>
      <c r="D257" s="4">
        <f t="shared" ref="D257:D320" si="14">_xlfn.NORM.DIST(B257,D$45,D$46,FALSE)*G2_Weight</f>
        <v>0</v>
      </c>
    </row>
    <row r="258" spans="2:4" x14ac:dyDescent="0.25">
      <c r="B258" s="71">
        <f t="shared" ref="B258:B321" si="15">B257+$A$65</f>
        <v>9.6500000000000021</v>
      </c>
      <c r="C258" s="4">
        <f t="shared" si="13"/>
        <v>0</v>
      </c>
      <c r="D258" s="4">
        <f t="shared" si="14"/>
        <v>0</v>
      </c>
    </row>
    <row r="259" spans="2:4" x14ac:dyDescent="0.25">
      <c r="B259" s="71">
        <f t="shared" si="15"/>
        <v>9.7000000000000028</v>
      </c>
      <c r="C259" s="4">
        <f t="shared" si="13"/>
        <v>0</v>
      </c>
      <c r="D259" s="4">
        <f t="shared" si="14"/>
        <v>0</v>
      </c>
    </row>
    <row r="260" spans="2:4" x14ac:dyDescent="0.25">
      <c r="B260" s="71">
        <f t="shared" si="15"/>
        <v>9.7500000000000036</v>
      </c>
      <c r="C260" s="4">
        <f t="shared" si="13"/>
        <v>0</v>
      </c>
      <c r="D260" s="4">
        <f t="shared" si="14"/>
        <v>0</v>
      </c>
    </row>
    <row r="261" spans="2:4" x14ac:dyDescent="0.25">
      <c r="B261" s="71">
        <f t="shared" si="15"/>
        <v>9.8000000000000043</v>
      </c>
      <c r="C261" s="4">
        <f t="shared" si="13"/>
        <v>0</v>
      </c>
      <c r="D261" s="4">
        <f t="shared" si="14"/>
        <v>0</v>
      </c>
    </row>
    <row r="262" spans="2:4" x14ac:dyDescent="0.25">
      <c r="B262" s="71">
        <f t="shared" si="15"/>
        <v>9.850000000000005</v>
      </c>
      <c r="C262" s="4">
        <f t="shared" si="13"/>
        <v>0</v>
      </c>
      <c r="D262" s="4">
        <f t="shared" si="14"/>
        <v>0</v>
      </c>
    </row>
    <row r="263" spans="2:4" x14ac:dyDescent="0.25">
      <c r="B263" s="71">
        <f t="shared" si="15"/>
        <v>9.9000000000000057</v>
      </c>
      <c r="C263" s="4">
        <f t="shared" si="13"/>
        <v>0</v>
      </c>
      <c r="D263" s="4">
        <f t="shared" si="14"/>
        <v>0</v>
      </c>
    </row>
    <row r="264" spans="2:4" x14ac:dyDescent="0.25">
      <c r="B264" s="71">
        <f t="shared" si="15"/>
        <v>9.9500000000000064</v>
      </c>
      <c r="C264" s="4">
        <f t="shared" si="13"/>
        <v>0</v>
      </c>
      <c r="D264" s="4">
        <f t="shared" si="14"/>
        <v>0</v>
      </c>
    </row>
    <row r="265" spans="2:4" x14ac:dyDescent="0.25">
      <c r="B265" s="71">
        <f t="shared" si="15"/>
        <v>10.000000000000007</v>
      </c>
      <c r="C265" s="4">
        <f t="shared" si="13"/>
        <v>0</v>
      </c>
      <c r="D265" s="4">
        <f t="shared" si="14"/>
        <v>0</v>
      </c>
    </row>
    <row r="266" spans="2:4" x14ac:dyDescent="0.25">
      <c r="B266" s="71">
        <f t="shared" si="15"/>
        <v>10.050000000000008</v>
      </c>
      <c r="C266" s="4">
        <f t="shared" si="13"/>
        <v>0</v>
      </c>
      <c r="D266" s="4">
        <f t="shared" si="14"/>
        <v>0</v>
      </c>
    </row>
    <row r="267" spans="2:4" x14ac:dyDescent="0.25">
      <c r="B267" s="71">
        <f t="shared" si="15"/>
        <v>10.100000000000009</v>
      </c>
      <c r="C267" s="4">
        <f t="shared" si="13"/>
        <v>0</v>
      </c>
      <c r="D267" s="4">
        <f t="shared" si="14"/>
        <v>0</v>
      </c>
    </row>
    <row r="268" spans="2:4" x14ac:dyDescent="0.25">
      <c r="B268" s="71">
        <f t="shared" si="15"/>
        <v>10.150000000000009</v>
      </c>
      <c r="C268" s="4">
        <f t="shared" si="13"/>
        <v>0</v>
      </c>
      <c r="D268" s="4">
        <f t="shared" si="14"/>
        <v>0</v>
      </c>
    </row>
    <row r="269" spans="2:4" x14ac:dyDescent="0.25">
      <c r="B269" s="71">
        <f t="shared" si="15"/>
        <v>10.20000000000001</v>
      </c>
      <c r="C269" s="4">
        <f t="shared" si="13"/>
        <v>0</v>
      </c>
      <c r="D269" s="4">
        <f t="shared" si="14"/>
        <v>0</v>
      </c>
    </row>
    <row r="270" spans="2:4" x14ac:dyDescent="0.25">
      <c r="B270" s="71">
        <f t="shared" si="15"/>
        <v>10.250000000000011</v>
      </c>
      <c r="C270" s="4">
        <f t="shared" si="13"/>
        <v>0</v>
      </c>
      <c r="D270" s="4">
        <f t="shared" si="14"/>
        <v>0</v>
      </c>
    </row>
    <row r="271" spans="2:4" x14ac:dyDescent="0.25">
      <c r="B271" s="71">
        <f t="shared" si="15"/>
        <v>10.300000000000011</v>
      </c>
      <c r="C271" s="4">
        <f t="shared" si="13"/>
        <v>0</v>
      </c>
      <c r="D271" s="4">
        <f t="shared" si="14"/>
        <v>0</v>
      </c>
    </row>
    <row r="272" spans="2:4" x14ac:dyDescent="0.25">
      <c r="B272" s="71">
        <f t="shared" si="15"/>
        <v>10.350000000000012</v>
      </c>
      <c r="C272" s="4">
        <f t="shared" si="13"/>
        <v>0</v>
      </c>
      <c r="D272" s="4">
        <f t="shared" si="14"/>
        <v>0</v>
      </c>
    </row>
    <row r="273" spans="2:4" x14ac:dyDescent="0.25">
      <c r="B273" s="71">
        <f t="shared" si="15"/>
        <v>10.400000000000013</v>
      </c>
      <c r="C273" s="4">
        <f t="shared" si="13"/>
        <v>0</v>
      </c>
      <c r="D273" s="4">
        <f t="shared" si="14"/>
        <v>0</v>
      </c>
    </row>
    <row r="274" spans="2:4" x14ac:dyDescent="0.25">
      <c r="B274" s="71">
        <f t="shared" si="15"/>
        <v>10.450000000000014</v>
      </c>
      <c r="C274" s="4">
        <f t="shared" si="13"/>
        <v>0</v>
      </c>
      <c r="D274" s="4">
        <f t="shared" si="14"/>
        <v>0</v>
      </c>
    </row>
    <row r="275" spans="2:4" x14ac:dyDescent="0.25">
      <c r="B275" s="71">
        <f t="shared" si="15"/>
        <v>10.500000000000014</v>
      </c>
      <c r="C275" s="4">
        <f t="shared" si="13"/>
        <v>0</v>
      </c>
      <c r="D275" s="4">
        <f t="shared" si="14"/>
        <v>0</v>
      </c>
    </row>
    <row r="276" spans="2:4" x14ac:dyDescent="0.25">
      <c r="B276" s="71">
        <f t="shared" si="15"/>
        <v>10.550000000000015</v>
      </c>
      <c r="C276" s="4">
        <f t="shared" si="13"/>
        <v>0</v>
      </c>
      <c r="D276" s="4">
        <f t="shared" si="14"/>
        <v>0</v>
      </c>
    </row>
    <row r="277" spans="2:4" x14ac:dyDescent="0.25">
      <c r="B277" s="71">
        <f t="shared" si="15"/>
        <v>10.600000000000016</v>
      </c>
      <c r="C277" s="4">
        <f t="shared" si="13"/>
        <v>0</v>
      </c>
      <c r="D277" s="4">
        <f t="shared" si="14"/>
        <v>0</v>
      </c>
    </row>
    <row r="278" spans="2:4" x14ac:dyDescent="0.25">
      <c r="B278" s="71">
        <f t="shared" si="15"/>
        <v>10.650000000000016</v>
      </c>
      <c r="C278" s="4">
        <f t="shared" si="13"/>
        <v>0</v>
      </c>
      <c r="D278" s="4">
        <f t="shared" si="14"/>
        <v>0</v>
      </c>
    </row>
    <row r="279" spans="2:4" x14ac:dyDescent="0.25">
      <c r="B279" s="71">
        <f t="shared" si="15"/>
        <v>10.700000000000017</v>
      </c>
      <c r="C279" s="4">
        <f t="shared" si="13"/>
        <v>0</v>
      </c>
      <c r="D279" s="4">
        <f t="shared" si="14"/>
        <v>0</v>
      </c>
    </row>
    <row r="280" spans="2:4" x14ac:dyDescent="0.25">
      <c r="B280" s="71">
        <f t="shared" si="15"/>
        <v>10.750000000000018</v>
      </c>
      <c r="C280" s="4">
        <f t="shared" si="13"/>
        <v>0</v>
      </c>
      <c r="D280" s="4">
        <f t="shared" si="14"/>
        <v>0</v>
      </c>
    </row>
    <row r="281" spans="2:4" x14ac:dyDescent="0.25">
      <c r="B281" s="71">
        <f t="shared" si="15"/>
        <v>10.800000000000018</v>
      </c>
      <c r="C281" s="4">
        <f t="shared" si="13"/>
        <v>0</v>
      </c>
      <c r="D281" s="4">
        <f t="shared" si="14"/>
        <v>0</v>
      </c>
    </row>
    <row r="282" spans="2:4" x14ac:dyDescent="0.25">
      <c r="B282" s="71">
        <f t="shared" si="15"/>
        <v>10.850000000000019</v>
      </c>
      <c r="C282" s="4">
        <f t="shared" si="13"/>
        <v>0</v>
      </c>
      <c r="D282" s="4">
        <f t="shared" si="14"/>
        <v>0</v>
      </c>
    </row>
    <row r="283" spans="2:4" x14ac:dyDescent="0.25">
      <c r="B283" s="71">
        <f t="shared" si="15"/>
        <v>10.90000000000002</v>
      </c>
      <c r="C283" s="4">
        <f t="shared" si="13"/>
        <v>0</v>
      </c>
      <c r="D283" s="4">
        <f t="shared" si="14"/>
        <v>0</v>
      </c>
    </row>
    <row r="284" spans="2:4" x14ac:dyDescent="0.25">
      <c r="B284" s="71">
        <f t="shared" si="15"/>
        <v>10.950000000000021</v>
      </c>
      <c r="C284" s="4">
        <f t="shared" si="13"/>
        <v>0</v>
      </c>
      <c r="D284" s="4">
        <f t="shared" si="14"/>
        <v>0</v>
      </c>
    </row>
    <row r="285" spans="2:4" x14ac:dyDescent="0.25">
      <c r="B285" s="71">
        <f t="shared" si="15"/>
        <v>11.000000000000021</v>
      </c>
      <c r="C285" s="4">
        <f t="shared" si="13"/>
        <v>0</v>
      </c>
      <c r="D285" s="4">
        <f t="shared" si="14"/>
        <v>0</v>
      </c>
    </row>
    <row r="286" spans="2:4" x14ac:dyDescent="0.25">
      <c r="B286" s="71">
        <f t="shared" si="15"/>
        <v>11.050000000000022</v>
      </c>
      <c r="C286" s="4">
        <f t="shared" si="13"/>
        <v>0</v>
      </c>
      <c r="D286" s="4">
        <f t="shared" si="14"/>
        <v>0</v>
      </c>
    </row>
    <row r="287" spans="2:4" x14ac:dyDescent="0.25">
      <c r="B287" s="71">
        <f t="shared" si="15"/>
        <v>11.100000000000023</v>
      </c>
      <c r="C287" s="4">
        <f t="shared" si="13"/>
        <v>0</v>
      </c>
      <c r="D287" s="4">
        <f t="shared" si="14"/>
        <v>0</v>
      </c>
    </row>
    <row r="288" spans="2:4" x14ac:dyDescent="0.25">
      <c r="B288" s="71">
        <f t="shared" si="15"/>
        <v>11.150000000000023</v>
      </c>
      <c r="C288" s="4">
        <f t="shared" si="13"/>
        <v>0</v>
      </c>
      <c r="D288" s="4">
        <f t="shared" si="14"/>
        <v>0</v>
      </c>
    </row>
    <row r="289" spans="2:4" x14ac:dyDescent="0.25">
      <c r="B289" s="71">
        <f t="shared" si="15"/>
        <v>11.200000000000024</v>
      </c>
      <c r="C289" s="4">
        <f t="shared" si="13"/>
        <v>0</v>
      </c>
      <c r="D289" s="4">
        <f t="shared" si="14"/>
        <v>0</v>
      </c>
    </row>
    <row r="290" spans="2:4" x14ac:dyDescent="0.25">
      <c r="B290" s="71">
        <f t="shared" si="15"/>
        <v>11.250000000000025</v>
      </c>
      <c r="C290" s="4">
        <f t="shared" si="13"/>
        <v>0</v>
      </c>
      <c r="D290" s="4">
        <f t="shared" si="14"/>
        <v>0</v>
      </c>
    </row>
    <row r="291" spans="2:4" x14ac:dyDescent="0.25">
      <c r="B291" s="71">
        <f t="shared" si="15"/>
        <v>11.300000000000026</v>
      </c>
      <c r="C291" s="4">
        <f t="shared" si="13"/>
        <v>0</v>
      </c>
      <c r="D291" s="4">
        <f t="shared" si="14"/>
        <v>0</v>
      </c>
    </row>
    <row r="292" spans="2:4" x14ac:dyDescent="0.25">
      <c r="B292" s="71">
        <f t="shared" si="15"/>
        <v>11.350000000000026</v>
      </c>
      <c r="C292" s="4">
        <f t="shared" si="13"/>
        <v>0</v>
      </c>
      <c r="D292" s="4">
        <f t="shared" si="14"/>
        <v>0</v>
      </c>
    </row>
    <row r="293" spans="2:4" x14ac:dyDescent="0.25">
      <c r="B293" s="71">
        <f t="shared" si="15"/>
        <v>11.400000000000027</v>
      </c>
      <c r="C293" s="4">
        <f t="shared" si="13"/>
        <v>0</v>
      </c>
      <c r="D293" s="4">
        <f t="shared" si="14"/>
        <v>0</v>
      </c>
    </row>
    <row r="294" spans="2:4" x14ac:dyDescent="0.25">
      <c r="B294" s="71">
        <f t="shared" si="15"/>
        <v>11.450000000000028</v>
      </c>
      <c r="C294" s="4">
        <f t="shared" si="13"/>
        <v>0</v>
      </c>
      <c r="D294" s="4">
        <f t="shared" si="14"/>
        <v>0</v>
      </c>
    </row>
    <row r="295" spans="2:4" x14ac:dyDescent="0.25">
      <c r="B295" s="71">
        <f t="shared" si="15"/>
        <v>11.500000000000028</v>
      </c>
      <c r="C295" s="4">
        <f t="shared" si="13"/>
        <v>0</v>
      </c>
      <c r="D295" s="4">
        <f t="shared" si="14"/>
        <v>0</v>
      </c>
    </row>
    <row r="296" spans="2:4" x14ac:dyDescent="0.25">
      <c r="B296" s="71">
        <f t="shared" si="15"/>
        <v>11.550000000000029</v>
      </c>
      <c r="C296" s="4">
        <f t="shared" si="13"/>
        <v>0</v>
      </c>
      <c r="D296" s="4">
        <f t="shared" si="14"/>
        <v>0</v>
      </c>
    </row>
    <row r="297" spans="2:4" x14ac:dyDescent="0.25">
      <c r="B297" s="71">
        <f t="shared" si="15"/>
        <v>11.60000000000003</v>
      </c>
      <c r="C297" s="4">
        <f t="shared" si="13"/>
        <v>0</v>
      </c>
      <c r="D297" s="4">
        <f t="shared" si="14"/>
        <v>0</v>
      </c>
    </row>
    <row r="298" spans="2:4" x14ac:dyDescent="0.25">
      <c r="B298" s="71">
        <f t="shared" si="15"/>
        <v>11.650000000000031</v>
      </c>
      <c r="C298" s="4">
        <f t="shared" si="13"/>
        <v>0</v>
      </c>
      <c r="D298" s="4">
        <f t="shared" si="14"/>
        <v>0</v>
      </c>
    </row>
    <row r="299" spans="2:4" x14ac:dyDescent="0.25">
      <c r="B299" s="71">
        <f t="shared" si="15"/>
        <v>11.700000000000031</v>
      </c>
      <c r="C299" s="4">
        <f t="shared" si="13"/>
        <v>0</v>
      </c>
      <c r="D299" s="4">
        <f t="shared" si="14"/>
        <v>0</v>
      </c>
    </row>
    <row r="300" spans="2:4" x14ac:dyDescent="0.25">
      <c r="B300" s="71">
        <f t="shared" si="15"/>
        <v>11.750000000000032</v>
      </c>
      <c r="C300" s="4">
        <f t="shared" si="13"/>
        <v>0</v>
      </c>
      <c r="D300" s="4">
        <f t="shared" si="14"/>
        <v>0</v>
      </c>
    </row>
    <row r="301" spans="2:4" x14ac:dyDescent="0.25">
      <c r="B301" s="71">
        <f t="shared" si="15"/>
        <v>11.800000000000033</v>
      </c>
      <c r="C301" s="4">
        <f t="shared" si="13"/>
        <v>0</v>
      </c>
      <c r="D301" s="4">
        <f t="shared" si="14"/>
        <v>0</v>
      </c>
    </row>
    <row r="302" spans="2:4" x14ac:dyDescent="0.25">
      <c r="B302" s="71">
        <f t="shared" si="15"/>
        <v>11.850000000000033</v>
      </c>
      <c r="C302" s="4">
        <f t="shared" si="13"/>
        <v>0</v>
      </c>
      <c r="D302" s="4">
        <f t="shared" si="14"/>
        <v>0</v>
      </c>
    </row>
    <row r="303" spans="2:4" x14ac:dyDescent="0.25">
      <c r="B303" s="71">
        <f t="shared" si="15"/>
        <v>11.900000000000034</v>
      </c>
      <c r="C303" s="4">
        <f t="shared" si="13"/>
        <v>0</v>
      </c>
      <c r="D303" s="4">
        <f t="shared" si="14"/>
        <v>0</v>
      </c>
    </row>
    <row r="304" spans="2:4" x14ac:dyDescent="0.25">
      <c r="B304" s="71">
        <f t="shared" si="15"/>
        <v>11.950000000000035</v>
      </c>
      <c r="C304" s="4">
        <f t="shared" si="13"/>
        <v>0</v>
      </c>
      <c r="D304" s="4">
        <f t="shared" si="14"/>
        <v>0</v>
      </c>
    </row>
    <row r="305" spans="2:4" x14ac:dyDescent="0.25">
      <c r="B305" s="71">
        <f t="shared" si="15"/>
        <v>12.000000000000036</v>
      </c>
      <c r="C305" s="4">
        <f t="shared" si="13"/>
        <v>0</v>
      </c>
      <c r="D305" s="4">
        <f t="shared" si="14"/>
        <v>0</v>
      </c>
    </row>
    <row r="306" spans="2:4" x14ac:dyDescent="0.25">
      <c r="B306" s="71">
        <f t="shared" si="15"/>
        <v>12.050000000000036</v>
      </c>
      <c r="C306" s="4">
        <f t="shared" si="13"/>
        <v>0</v>
      </c>
      <c r="D306" s="4">
        <f t="shared" si="14"/>
        <v>0</v>
      </c>
    </row>
    <row r="307" spans="2:4" x14ac:dyDescent="0.25">
      <c r="B307" s="71">
        <f t="shared" si="15"/>
        <v>12.100000000000037</v>
      </c>
      <c r="C307" s="4">
        <f t="shared" si="13"/>
        <v>0</v>
      </c>
      <c r="D307" s="4">
        <f t="shared" si="14"/>
        <v>0</v>
      </c>
    </row>
    <row r="308" spans="2:4" x14ac:dyDescent="0.25">
      <c r="B308" s="71">
        <f t="shared" si="15"/>
        <v>12.150000000000038</v>
      </c>
      <c r="C308" s="4">
        <f t="shared" si="13"/>
        <v>0</v>
      </c>
      <c r="D308" s="4">
        <f t="shared" si="14"/>
        <v>0</v>
      </c>
    </row>
    <row r="309" spans="2:4" x14ac:dyDescent="0.25">
      <c r="B309" s="71">
        <f t="shared" si="15"/>
        <v>12.200000000000038</v>
      </c>
      <c r="C309" s="4">
        <f t="shared" si="13"/>
        <v>0</v>
      </c>
      <c r="D309" s="4">
        <f t="shared" si="14"/>
        <v>0</v>
      </c>
    </row>
    <row r="310" spans="2:4" x14ac:dyDescent="0.25">
      <c r="B310" s="71">
        <f t="shared" si="15"/>
        <v>12.250000000000039</v>
      </c>
      <c r="C310" s="4">
        <f t="shared" si="13"/>
        <v>0</v>
      </c>
      <c r="D310" s="4">
        <f t="shared" si="14"/>
        <v>0</v>
      </c>
    </row>
    <row r="311" spans="2:4" x14ac:dyDescent="0.25">
      <c r="B311" s="71">
        <f t="shared" si="15"/>
        <v>12.30000000000004</v>
      </c>
      <c r="C311" s="4">
        <f t="shared" si="13"/>
        <v>0</v>
      </c>
      <c r="D311" s="4">
        <f t="shared" si="14"/>
        <v>0</v>
      </c>
    </row>
    <row r="312" spans="2:4" x14ac:dyDescent="0.25">
      <c r="B312" s="71">
        <f t="shared" si="15"/>
        <v>12.350000000000041</v>
      </c>
      <c r="C312" s="4">
        <f t="shared" si="13"/>
        <v>0</v>
      </c>
      <c r="D312" s="4">
        <f t="shared" si="14"/>
        <v>0</v>
      </c>
    </row>
    <row r="313" spans="2:4" x14ac:dyDescent="0.25">
      <c r="B313" s="71">
        <f t="shared" si="15"/>
        <v>12.400000000000041</v>
      </c>
      <c r="C313" s="4">
        <f t="shared" si="13"/>
        <v>0</v>
      </c>
      <c r="D313" s="4">
        <f t="shared" si="14"/>
        <v>0</v>
      </c>
    </row>
    <row r="314" spans="2:4" x14ac:dyDescent="0.25">
      <c r="B314" s="71">
        <f t="shared" si="15"/>
        <v>12.450000000000042</v>
      </c>
      <c r="C314" s="4">
        <f t="shared" si="13"/>
        <v>0</v>
      </c>
      <c r="D314" s="4">
        <f t="shared" si="14"/>
        <v>0</v>
      </c>
    </row>
    <row r="315" spans="2:4" x14ac:dyDescent="0.25">
      <c r="B315" s="71">
        <f t="shared" si="15"/>
        <v>12.500000000000043</v>
      </c>
      <c r="C315" s="4">
        <f t="shared" si="13"/>
        <v>0</v>
      </c>
      <c r="D315" s="4">
        <f t="shared" si="14"/>
        <v>0</v>
      </c>
    </row>
    <row r="316" spans="2:4" x14ac:dyDescent="0.25">
      <c r="B316" s="71">
        <f t="shared" si="15"/>
        <v>12.550000000000043</v>
      </c>
      <c r="C316" s="4">
        <f t="shared" si="13"/>
        <v>0</v>
      </c>
      <c r="D316" s="4">
        <f t="shared" si="14"/>
        <v>0</v>
      </c>
    </row>
    <row r="317" spans="2:4" x14ac:dyDescent="0.25">
      <c r="B317" s="71">
        <f t="shared" si="15"/>
        <v>12.600000000000044</v>
      </c>
      <c r="C317" s="4">
        <f t="shared" si="13"/>
        <v>0</v>
      </c>
      <c r="D317" s="4">
        <f t="shared" si="14"/>
        <v>0</v>
      </c>
    </row>
    <row r="318" spans="2:4" x14ac:dyDescent="0.25">
      <c r="B318" s="71">
        <f t="shared" si="15"/>
        <v>12.650000000000045</v>
      </c>
      <c r="C318" s="4">
        <f t="shared" si="13"/>
        <v>0</v>
      </c>
      <c r="D318" s="4">
        <f t="shared" si="14"/>
        <v>0</v>
      </c>
    </row>
    <row r="319" spans="2:4" x14ac:dyDescent="0.25">
      <c r="B319" s="71">
        <f t="shared" si="15"/>
        <v>12.700000000000045</v>
      </c>
      <c r="C319" s="4">
        <f t="shared" si="13"/>
        <v>0</v>
      </c>
      <c r="D319" s="4">
        <f t="shared" si="14"/>
        <v>0</v>
      </c>
    </row>
    <row r="320" spans="2:4" x14ac:dyDescent="0.25">
      <c r="B320" s="71">
        <f t="shared" si="15"/>
        <v>12.750000000000046</v>
      </c>
      <c r="C320" s="4">
        <f t="shared" si="13"/>
        <v>0</v>
      </c>
      <c r="D320" s="4">
        <f t="shared" si="14"/>
        <v>0</v>
      </c>
    </row>
    <row r="321" spans="2:4" x14ac:dyDescent="0.25">
      <c r="B321" s="71">
        <f t="shared" si="15"/>
        <v>12.800000000000047</v>
      </c>
      <c r="C321" s="4">
        <f t="shared" ref="C321:C384" si="16">_xlfn.NORM.DIST(B321,$C$45,C$46,FALSE)*G1_Weight</f>
        <v>0</v>
      </c>
      <c r="D321" s="4">
        <f t="shared" ref="D321:D384" si="17">_xlfn.NORM.DIST(B321,D$45,D$46,FALSE)*G2_Weight</f>
        <v>0</v>
      </c>
    </row>
    <row r="322" spans="2:4" x14ac:dyDescent="0.25">
      <c r="B322" s="71">
        <f t="shared" ref="B322:B385" si="18">B321+$A$65</f>
        <v>12.850000000000048</v>
      </c>
      <c r="C322" s="4">
        <f t="shared" si="16"/>
        <v>0</v>
      </c>
      <c r="D322" s="4">
        <f t="shared" si="17"/>
        <v>0</v>
      </c>
    </row>
    <row r="323" spans="2:4" x14ac:dyDescent="0.25">
      <c r="B323" s="71">
        <f t="shared" si="18"/>
        <v>12.900000000000048</v>
      </c>
      <c r="C323" s="4">
        <f t="shared" si="16"/>
        <v>0</v>
      </c>
      <c r="D323" s="4">
        <f t="shared" si="17"/>
        <v>0</v>
      </c>
    </row>
    <row r="324" spans="2:4" x14ac:dyDescent="0.25">
      <c r="B324" s="71">
        <f t="shared" si="18"/>
        <v>12.950000000000049</v>
      </c>
      <c r="C324" s="4">
        <f t="shared" si="16"/>
        <v>0</v>
      </c>
      <c r="D324" s="4">
        <f t="shared" si="17"/>
        <v>0</v>
      </c>
    </row>
    <row r="325" spans="2:4" x14ac:dyDescent="0.25">
      <c r="B325" s="71">
        <f t="shared" si="18"/>
        <v>13.00000000000005</v>
      </c>
      <c r="C325" s="4">
        <f t="shared" si="16"/>
        <v>0</v>
      </c>
      <c r="D325" s="4">
        <f t="shared" si="17"/>
        <v>0</v>
      </c>
    </row>
    <row r="326" spans="2:4" x14ac:dyDescent="0.25">
      <c r="B326" s="71">
        <f t="shared" si="18"/>
        <v>13.05000000000005</v>
      </c>
      <c r="C326" s="4">
        <f t="shared" si="16"/>
        <v>0</v>
      </c>
      <c r="D326" s="4">
        <f t="shared" si="17"/>
        <v>0</v>
      </c>
    </row>
    <row r="327" spans="2:4" x14ac:dyDescent="0.25">
      <c r="B327" s="71">
        <f t="shared" si="18"/>
        <v>13.100000000000051</v>
      </c>
      <c r="C327" s="4">
        <f t="shared" si="16"/>
        <v>0</v>
      </c>
      <c r="D327" s="4">
        <f t="shared" si="17"/>
        <v>0</v>
      </c>
    </row>
    <row r="328" spans="2:4" x14ac:dyDescent="0.25">
      <c r="B328" s="71">
        <f t="shared" si="18"/>
        <v>13.150000000000052</v>
      </c>
      <c r="C328" s="4">
        <f t="shared" si="16"/>
        <v>0</v>
      </c>
      <c r="D328" s="4">
        <f t="shared" si="17"/>
        <v>0</v>
      </c>
    </row>
    <row r="329" spans="2:4" x14ac:dyDescent="0.25">
      <c r="B329" s="71">
        <f t="shared" si="18"/>
        <v>13.200000000000053</v>
      </c>
      <c r="C329" s="4">
        <f t="shared" si="16"/>
        <v>0</v>
      </c>
      <c r="D329" s="4">
        <f t="shared" si="17"/>
        <v>0</v>
      </c>
    </row>
    <row r="330" spans="2:4" x14ac:dyDescent="0.25">
      <c r="B330" s="71">
        <f t="shared" si="18"/>
        <v>13.250000000000053</v>
      </c>
      <c r="C330" s="4">
        <f t="shared" si="16"/>
        <v>0</v>
      </c>
      <c r="D330" s="4">
        <f t="shared" si="17"/>
        <v>0</v>
      </c>
    </row>
    <row r="331" spans="2:4" x14ac:dyDescent="0.25">
      <c r="B331" s="71">
        <f t="shared" si="18"/>
        <v>13.300000000000054</v>
      </c>
      <c r="C331" s="4">
        <f t="shared" si="16"/>
        <v>0</v>
      </c>
      <c r="D331" s="4">
        <f t="shared" si="17"/>
        <v>0</v>
      </c>
    </row>
    <row r="332" spans="2:4" x14ac:dyDescent="0.25">
      <c r="B332" s="71">
        <f t="shared" si="18"/>
        <v>13.350000000000055</v>
      </c>
      <c r="C332" s="4">
        <f t="shared" si="16"/>
        <v>0</v>
      </c>
      <c r="D332" s="4">
        <f t="shared" si="17"/>
        <v>0</v>
      </c>
    </row>
    <row r="333" spans="2:4" x14ac:dyDescent="0.25">
      <c r="B333" s="71">
        <f t="shared" si="18"/>
        <v>13.400000000000055</v>
      </c>
      <c r="C333" s="4">
        <f t="shared" si="16"/>
        <v>0</v>
      </c>
      <c r="D333" s="4">
        <f t="shared" si="17"/>
        <v>0</v>
      </c>
    </row>
    <row r="334" spans="2:4" x14ac:dyDescent="0.25">
      <c r="B334" s="71">
        <f t="shared" si="18"/>
        <v>13.450000000000056</v>
      </c>
      <c r="C334" s="4">
        <f t="shared" si="16"/>
        <v>0</v>
      </c>
      <c r="D334" s="4">
        <f t="shared" si="17"/>
        <v>0</v>
      </c>
    </row>
    <row r="335" spans="2:4" x14ac:dyDescent="0.25">
      <c r="B335" s="71">
        <f t="shared" si="18"/>
        <v>13.500000000000057</v>
      </c>
      <c r="C335" s="4">
        <f t="shared" si="16"/>
        <v>0</v>
      </c>
      <c r="D335" s="4">
        <f t="shared" si="17"/>
        <v>0</v>
      </c>
    </row>
    <row r="336" spans="2:4" x14ac:dyDescent="0.25">
      <c r="B336" s="71">
        <f t="shared" si="18"/>
        <v>13.550000000000058</v>
      </c>
      <c r="C336" s="4">
        <f t="shared" si="16"/>
        <v>0</v>
      </c>
      <c r="D336" s="4">
        <f t="shared" si="17"/>
        <v>0</v>
      </c>
    </row>
    <row r="337" spans="2:4" x14ac:dyDescent="0.25">
      <c r="B337" s="71">
        <f t="shared" si="18"/>
        <v>13.600000000000058</v>
      </c>
      <c r="C337" s="4">
        <f t="shared" si="16"/>
        <v>0</v>
      </c>
      <c r="D337" s="4">
        <f t="shared" si="17"/>
        <v>0</v>
      </c>
    </row>
    <row r="338" spans="2:4" x14ac:dyDescent="0.25">
      <c r="B338" s="71">
        <f t="shared" si="18"/>
        <v>13.650000000000059</v>
      </c>
      <c r="C338" s="4">
        <f t="shared" si="16"/>
        <v>0</v>
      </c>
      <c r="D338" s="4">
        <f t="shared" si="17"/>
        <v>0</v>
      </c>
    </row>
    <row r="339" spans="2:4" x14ac:dyDescent="0.25">
      <c r="B339" s="71">
        <f t="shared" si="18"/>
        <v>13.70000000000006</v>
      </c>
      <c r="C339" s="4">
        <f t="shared" si="16"/>
        <v>0</v>
      </c>
      <c r="D339" s="4">
        <f t="shared" si="17"/>
        <v>0</v>
      </c>
    </row>
    <row r="340" spans="2:4" x14ac:dyDescent="0.25">
      <c r="B340" s="71">
        <f t="shared" si="18"/>
        <v>13.75000000000006</v>
      </c>
      <c r="C340" s="4">
        <f t="shared" si="16"/>
        <v>0</v>
      </c>
      <c r="D340" s="4">
        <f t="shared" si="17"/>
        <v>0</v>
      </c>
    </row>
    <row r="341" spans="2:4" x14ac:dyDescent="0.25">
      <c r="B341" s="71">
        <f t="shared" si="18"/>
        <v>13.800000000000061</v>
      </c>
      <c r="C341" s="4">
        <f t="shared" si="16"/>
        <v>0</v>
      </c>
      <c r="D341" s="4">
        <f t="shared" si="17"/>
        <v>0</v>
      </c>
    </row>
    <row r="342" spans="2:4" x14ac:dyDescent="0.25">
      <c r="B342" s="71">
        <f t="shared" si="18"/>
        <v>13.850000000000062</v>
      </c>
      <c r="C342" s="4">
        <f t="shared" si="16"/>
        <v>0</v>
      </c>
      <c r="D342" s="4">
        <f t="shared" si="17"/>
        <v>0</v>
      </c>
    </row>
    <row r="343" spans="2:4" x14ac:dyDescent="0.25">
      <c r="B343" s="71">
        <f t="shared" si="18"/>
        <v>13.900000000000063</v>
      </c>
      <c r="C343" s="4">
        <f t="shared" si="16"/>
        <v>0</v>
      </c>
      <c r="D343" s="4">
        <f t="shared" si="17"/>
        <v>0</v>
      </c>
    </row>
    <row r="344" spans="2:4" x14ac:dyDescent="0.25">
      <c r="B344" s="71">
        <f t="shared" si="18"/>
        <v>13.950000000000063</v>
      </c>
      <c r="C344" s="4">
        <f t="shared" si="16"/>
        <v>0</v>
      </c>
      <c r="D344" s="4">
        <f t="shared" si="17"/>
        <v>0</v>
      </c>
    </row>
    <row r="345" spans="2:4" x14ac:dyDescent="0.25">
      <c r="B345" s="71">
        <f t="shared" si="18"/>
        <v>14.000000000000064</v>
      </c>
      <c r="C345" s="4">
        <f t="shared" si="16"/>
        <v>0</v>
      </c>
      <c r="D345" s="4">
        <f t="shared" si="17"/>
        <v>0</v>
      </c>
    </row>
    <row r="346" spans="2:4" x14ac:dyDescent="0.25">
      <c r="B346" s="71">
        <f t="shared" si="18"/>
        <v>14.050000000000065</v>
      </c>
      <c r="C346" s="4">
        <f t="shared" si="16"/>
        <v>0</v>
      </c>
      <c r="D346" s="4">
        <f t="shared" si="17"/>
        <v>0</v>
      </c>
    </row>
    <row r="347" spans="2:4" x14ac:dyDescent="0.25">
      <c r="B347" s="71">
        <f t="shared" si="18"/>
        <v>14.100000000000065</v>
      </c>
      <c r="C347" s="4">
        <f t="shared" si="16"/>
        <v>0</v>
      </c>
      <c r="D347" s="4">
        <f t="shared" si="17"/>
        <v>0</v>
      </c>
    </row>
    <row r="348" spans="2:4" x14ac:dyDescent="0.25">
      <c r="B348" s="71">
        <f t="shared" si="18"/>
        <v>14.150000000000066</v>
      </c>
      <c r="C348" s="4">
        <f t="shared" si="16"/>
        <v>0</v>
      </c>
      <c r="D348" s="4">
        <f t="shared" si="17"/>
        <v>0</v>
      </c>
    </row>
    <row r="349" spans="2:4" x14ac:dyDescent="0.25">
      <c r="B349" s="71">
        <f t="shared" si="18"/>
        <v>14.200000000000067</v>
      </c>
      <c r="C349" s="4">
        <f t="shared" si="16"/>
        <v>0</v>
      </c>
      <c r="D349" s="4">
        <f t="shared" si="17"/>
        <v>0</v>
      </c>
    </row>
    <row r="350" spans="2:4" x14ac:dyDescent="0.25">
      <c r="B350" s="71">
        <f t="shared" si="18"/>
        <v>14.250000000000068</v>
      </c>
      <c r="C350" s="4">
        <f t="shared" si="16"/>
        <v>0</v>
      </c>
      <c r="D350" s="4">
        <f t="shared" si="17"/>
        <v>0</v>
      </c>
    </row>
    <row r="351" spans="2:4" x14ac:dyDescent="0.25">
      <c r="B351" s="71">
        <f t="shared" si="18"/>
        <v>14.300000000000068</v>
      </c>
      <c r="C351" s="4">
        <f t="shared" si="16"/>
        <v>0</v>
      </c>
      <c r="D351" s="4">
        <f t="shared" si="17"/>
        <v>0</v>
      </c>
    </row>
    <row r="352" spans="2:4" x14ac:dyDescent="0.25">
      <c r="B352" s="71">
        <f t="shared" si="18"/>
        <v>14.350000000000069</v>
      </c>
      <c r="C352" s="4">
        <f t="shared" si="16"/>
        <v>0</v>
      </c>
      <c r="D352" s="4">
        <f t="shared" si="17"/>
        <v>0</v>
      </c>
    </row>
    <row r="353" spans="2:4" x14ac:dyDescent="0.25">
      <c r="B353" s="71">
        <f t="shared" si="18"/>
        <v>14.40000000000007</v>
      </c>
      <c r="C353" s="4">
        <f t="shared" si="16"/>
        <v>0</v>
      </c>
      <c r="D353" s="4">
        <f t="shared" si="17"/>
        <v>0</v>
      </c>
    </row>
    <row r="354" spans="2:4" x14ac:dyDescent="0.25">
      <c r="B354" s="71">
        <f t="shared" si="18"/>
        <v>14.45000000000007</v>
      </c>
      <c r="C354" s="4">
        <f t="shared" si="16"/>
        <v>0</v>
      </c>
      <c r="D354" s="4">
        <f t="shared" si="17"/>
        <v>0</v>
      </c>
    </row>
    <row r="355" spans="2:4" x14ac:dyDescent="0.25">
      <c r="B355" s="71">
        <f t="shared" si="18"/>
        <v>14.500000000000071</v>
      </c>
      <c r="C355" s="4">
        <f t="shared" si="16"/>
        <v>0</v>
      </c>
      <c r="D355" s="4">
        <f t="shared" si="17"/>
        <v>0</v>
      </c>
    </row>
    <row r="356" spans="2:4" x14ac:dyDescent="0.25">
      <c r="B356" s="71">
        <f t="shared" si="18"/>
        <v>14.550000000000072</v>
      </c>
      <c r="C356" s="4">
        <f t="shared" si="16"/>
        <v>0</v>
      </c>
      <c r="D356" s="4">
        <f t="shared" si="17"/>
        <v>0</v>
      </c>
    </row>
    <row r="357" spans="2:4" x14ac:dyDescent="0.25">
      <c r="B357" s="71">
        <f t="shared" si="18"/>
        <v>14.600000000000072</v>
      </c>
      <c r="C357" s="4">
        <f t="shared" si="16"/>
        <v>0</v>
      </c>
      <c r="D357" s="4">
        <f t="shared" si="17"/>
        <v>0</v>
      </c>
    </row>
    <row r="358" spans="2:4" x14ac:dyDescent="0.25">
      <c r="B358" s="71">
        <f t="shared" si="18"/>
        <v>14.650000000000073</v>
      </c>
      <c r="C358" s="4">
        <f t="shared" si="16"/>
        <v>0</v>
      </c>
      <c r="D358" s="4">
        <f t="shared" si="17"/>
        <v>0</v>
      </c>
    </row>
    <row r="359" spans="2:4" x14ac:dyDescent="0.25">
      <c r="B359" s="71">
        <f t="shared" si="18"/>
        <v>14.700000000000074</v>
      </c>
      <c r="C359" s="4">
        <f t="shared" si="16"/>
        <v>0</v>
      </c>
      <c r="D359" s="4">
        <f t="shared" si="17"/>
        <v>0</v>
      </c>
    </row>
    <row r="360" spans="2:4" x14ac:dyDescent="0.25">
      <c r="B360" s="71">
        <f t="shared" si="18"/>
        <v>14.750000000000075</v>
      </c>
      <c r="C360" s="4">
        <f t="shared" si="16"/>
        <v>0</v>
      </c>
      <c r="D360" s="4">
        <f t="shared" si="17"/>
        <v>0</v>
      </c>
    </row>
    <row r="361" spans="2:4" x14ac:dyDescent="0.25">
      <c r="B361" s="71">
        <f t="shared" si="18"/>
        <v>14.800000000000075</v>
      </c>
      <c r="C361" s="4">
        <f t="shared" si="16"/>
        <v>0</v>
      </c>
      <c r="D361" s="4">
        <f t="shared" si="17"/>
        <v>0</v>
      </c>
    </row>
    <row r="362" spans="2:4" x14ac:dyDescent="0.25">
      <c r="B362" s="71">
        <f t="shared" si="18"/>
        <v>14.850000000000076</v>
      </c>
      <c r="C362" s="4">
        <f t="shared" si="16"/>
        <v>0</v>
      </c>
      <c r="D362" s="4">
        <f t="shared" si="17"/>
        <v>0</v>
      </c>
    </row>
    <row r="363" spans="2:4" x14ac:dyDescent="0.25">
      <c r="B363" s="71">
        <f t="shared" si="18"/>
        <v>14.900000000000077</v>
      </c>
      <c r="C363" s="4">
        <f t="shared" si="16"/>
        <v>0</v>
      </c>
      <c r="D363" s="4">
        <f t="shared" si="17"/>
        <v>0</v>
      </c>
    </row>
    <row r="364" spans="2:4" x14ac:dyDescent="0.25">
      <c r="B364" s="71">
        <f t="shared" si="18"/>
        <v>14.950000000000077</v>
      </c>
      <c r="C364" s="4">
        <f t="shared" si="16"/>
        <v>0</v>
      </c>
      <c r="D364" s="4">
        <f t="shared" si="17"/>
        <v>0</v>
      </c>
    </row>
    <row r="365" spans="2:4" x14ac:dyDescent="0.25">
      <c r="B365" s="71">
        <f t="shared" si="18"/>
        <v>15.000000000000078</v>
      </c>
      <c r="C365" s="4">
        <f t="shared" si="16"/>
        <v>0</v>
      </c>
      <c r="D365" s="4">
        <f t="shared" si="17"/>
        <v>0</v>
      </c>
    </row>
    <row r="366" spans="2:4" x14ac:dyDescent="0.25">
      <c r="B366" s="71">
        <f t="shared" si="18"/>
        <v>15.050000000000079</v>
      </c>
      <c r="C366" s="4">
        <f t="shared" si="16"/>
        <v>0</v>
      </c>
      <c r="D366" s="4">
        <f t="shared" si="17"/>
        <v>0</v>
      </c>
    </row>
    <row r="367" spans="2:4" x14ac:dyDescent="0.25">
      <c r="B367" s="71">
        <f t="shared" si="18"/>
        <v>15.10000000000008</v>
      </c>
      <c r="C367" s="4">
        <f t="shared" si="16"/>
        <v>0</v>
      </c>
      <c r="D367" s="4">
        <f t="shared" si="17"/>
        <v>0</v>
      </c>
    </row>
    <row r="368" spans="2:4" x14ac:dyDescent="0.25">
      <c r="B368" s="71">
        <f t="shared" si="18"/>
        <v>15.15000000000008</v>
      </c>
      <c r="C368" s="4">
        <f t="shared" si="16"/>
        <v>0</v>
      </c>
      <c r="D368" s="4">
        <f t="shared" si="17"/>
        <v>0</v>
      </c>
    </row>
    <row r="369" spans="2:4" x14ac:dyDescent="0.25">
      <c r="B369" s="71">
        <f t="shared" si="18"/>
        <v>15.200000000000081</v>
      </c>
      <c r="C369" s="4">
        <f t="shared" si="16"/>
        <v>0</v>
      </c>
      <c r="D369" s="4">
        <f t="shared" si="17"/>
        <v>0</v>
      </c>
    </row>
    <row r="370" spans="2:4" x14ac:dyDescent="0.25">
      <c r="B370" s="71">
        <f t="shared" si="18"/>
        <v>15.250000000000082</v>
      </c>
      <c r="C370" s="4">
        <f t="shared" si="16"/>
        <v>0</v>
      </c>
      <c r="D370" s="4">
        <f t="shared" si="17"/>
        <v>0</v>
      </c>
    </row>
    <row r="371" spans="2:4" x14ac:dyDescent="0.25">
      <c r="B371" s="71">
        <f t="shared" si="18"/>
        <v>15.300000000000082</v>
      </c>
      <c r="C371" s="4">
        <f t="shared" si="16"/>
        <v>0</v>
      </c>
      <c r="D371" s="4">
        <f t="shared" si="17"/>
        <v>0</v>
      </c>
    </row>
    <row r="372" spans="2:4" x14ac:dyDescent="0.25">
      <c r="B372" s="71">
        <f t="shared" si="18"/>
        <v>15.350000000000083</v>
      </c>
      <c r="C372" s="4">
        <f t="shared" si="16"/>
        <v>0</v>
      </c>
      <c r="D372" s="4">
        <f t="shared" si="17"/>
        <v>0</v>
      </c>
    </row>
    <row r="373" spans="2:4" x14ac:dyDescent="0.25">
      <c r="B373" s="71">
        <f t="shared" si="18"/>
        <v>15.400000000000084</v>
      </c>
      <c r="C373" s="4">
        <f t="shared" si="16"/>
        <v>0</v>
      </c>
      <c r="D373" s="4">
        <f t="shared" si="17"/>
        <v>0</v>
      </c>
    </row>
    <row r="374" spans="2:4" x14ac:dyDescent="0.25">
      <c r="B374" s="71">
        <f t="shared" si="18"/>
        <v>15.450000000000085</v>
      </c>
      <c r="C374" s="4">
        <f t="shared" si="16"/>
        <v>0</v>
      </c>
      <c r="D374" s="4">
        <f t="shared" si="17"/>
        <v>0</v>
      </c>
    </row>
    <row r="375" spans="2:4" x14ac:dyDescent="0.25">
      <c r="B375" s="71">
        <f t="shared" si="18"/>
        <v>15.500000000000085</v>
      </c>
      <c r="C375" s="4">
        <f t="shared" si="16"/>
        <v>0</v>
      </c>
      <c r="D375" s="4">
        <f t="shared" si="17"/>
        <v>0</v>
      </c>
    </row>
    <row r="376" spans="2:4" x14ac:dyDescent="0.25">
      <c r="B376" s="71">
        <f t="shared" si="18"/>
        <v>15.550000000000086</v>
      </c>
      <c r="C376" s="4">
        <f t="shared" si="16"/>
        <v>0</v>
      </c>
      <c r="D376" s="4">
        <f t="shared" si="17"/>
        <v>0</v>
      </c>
    </row>
    <row r="377" spans="2:4" x14ac:dyDescent="0.25">
      <c r="B377" s="71">
        <f t="shared" si="18"/>
        <v>15.600000000000087</v>
      </c>
      <c r="C377" s="4">
        <f t="shared" si="16"/>
        <v>0</v>
      </c>
      <c r="D377" s="4">
        <f t="shared" si="17"/>
        <v>0</v>
      </c>
    </row>
    <row r="378" spans="2:4" x14ac:dyDescent="0.25">
      <c r="B378" s="71">
        <f t="shared" si="18"/>
        <v>15.650000000000087</v>
      </c>
      <c r="C378" s="4">
        <f t="shared" si="16"/>
        <v>0</v>
      </c>
      <c r="D378" s="4">
        <f t="shared" si="17"/>
        <v>0</v>
      </c>
    </row>
    <row r="379" spans="2:4" x14ac:dyDescent="0.25">
      <c r="B379" s="71">
        <f t="shared" si="18"/>
        <v>15.700000000000088</v>
      </c>
      <c r="C379" s="4">
        <f t="shared" si="16"/>
        <v>0</v>
      </c>
      <c r="D379" s="4">
        <f t="shared" si="17"/>
        <v>0</v>
      </c>
    </row>
    <row r="380" spans="2:4" x14ac:dyDescent="0.25">
      <c r="B380" s="71">
        <f t="shared" si="18"/>
        <v>15.750000000000089</v>
      </c>
      <c r="C380" s="4">
        <f t="shared" si="16"/>
        <v>0</v>
      </c>
      <c r="D380" s="4">
        <f t="shared" si="17"/>
        <v>0</v>
      </c>
    </row>
    <row r="381" spans="2:4" x14ac:dyDescent="0.25">
      <c r="B381" s="71">
        <f t="shared" si="18"/>
        <v>15.80000000000009</v>
      </c>
      <c r="C381" s="4">
        <f t="shared" si="16"/>
        <v>0</v>
      </c>
      <c r="D381" s="4">
        <f t="shared" si="17"/>
        <v>0</v>
      </c>
    </row>
    <row r="382" spans="2:4" x14ac:dyDescent="0.25">
      <c r="B382" s="71">
        <f t="shared" si="18"/>
        <v>15.85000000000009</v>
      </c>
      <c r="C382" s="4">
        <f t="shared" si="16"/>
        <v>0</v>
      </c>
      <c r="D382" s="4">
        <f t="shared" si="17"/>
        <v>0</v>
      </c>
    </row>
    <row r="383" spans="2:4" x14ac:dyDescent="0.25">
      <c r="B383" s="71">
        <f t="shared" si="18"/>
        <v>15.900000000000091</v>
      </c>
      <c r="C383" s="4">
        <f t="shared" si="16"/>
        <v>0</v>
      </c>
      <c r="D383" s="4">
        <f t="shared" si="17"/>
        <v>0</v>
      </c>
    </row>
    <row r="384" spans="2:4" x14ac:dyDescent="0.25">
      <c r="B384" s="71">
        <f t="shared" si="18"/>
        <v>15.950000000000092</v>
      </c>
      <c r="C384" s="4">
        <f t="shared" si="16"/>
        <v>0</v>
      </c>
      <c r="D384" s="4">
        <f t="shared" si="17"/>
        <v>0</v>
      </c>
    </row>
    <row r="385" spans="2:4" x14ac:dyDescent="0.25">
      <c r="B385" s="71">
        <f t="shared" si="18"/>
        <v>16.000000000000092</v>
      </c>
      <c r="C385" s="4">
        <f t="shared" ref="C385:C448" si="19">_xlfn.NORM.DIST(B385,$C$45,C$46,FALSE)*G1_Weight</f>
        <v>0</v>
      </c>
      <c r="D385" s="4">
        <f t="shared" ref="D385:D448" si="20">_xlfn.NORM.DIST(B385,D$45,D$46,FALSE)*G2_Weight</f>
        <v>0</v>
      </c>
    </row>
    <row r="386" spans="2:4" x14ac:dyDescent="0.25">
      <c r="B386" s="71">
        <f t="shared" ref="B386:B449" si="21">B385+$A$65</f>
        <v>16.050000000000093</v>
      </c>
      <c r="C386" s="4">
        <f t="shared" si="19"/>
        <v>0</v>
      </c>
      <c r="D386" s="4">
        <f t="shared" si="20"/>
        <v>0</v>
      </c>
    </row>
    <row r="387" spans="2:4" x14ac:dyDescent="0.25">
      <c r="B387" s="71">
        <f t="shared" si="21"/>
        <v>16.100000000000094</v>
      </c>
      <c r="C387" s="4">
        <f t="shared" si="19"/>
        <v>0</v>
      </c>
      <c r="D387" s="4">
        <f t="shared" si="20"/>
        <v>0</v>
      </c>
    </row>
    <row r="388" spans="2:4" x14ac:dyDescent="0.25">
      <c r="B388" s="71">
        <f t="shared" si="21"/>
        <v>16.150000000000095</v>
      </c>
      <c r="C388" s="4">
        <f t="shared" si="19"/>
        <v>0</v>
      </c>
      <c r="D388" s="4">
        <f t="shared" si="20"/>
        <v>0</v>
      </c>
    </row>
    <row r="389" spans="2:4" x14ac:dyDescent="0.25">
      <c r="B389" s="71">
        <f t="shared" si="21"/>
        <v>16.200000000000095</v>
      </c>
      <c r="C389" s="4">
        <f t="shared" si="19"/>
        <v>0</v>
      </c>
      <c r="D389" s="4">
        <f t="shared" si="20"/>
        <v>0</v>
      </c>
    </row>
    <row r="390" spans="2:4" x14ac:dyDescent="0.25">
      <c r="B390" s="71">
        <f t="shared" si="21"/>
        <v>16.250000000000096</v>
      </c>
      <c r="C390" s="4">
        <f t="shared" si="19"/>
        <v>0</v>
      </c>
      <c r="D390" s="4">
        <f t="shared" si="20"/>
        <v>0</v>
      </c>
    </row>
    <row r="391" spans="2:4" x14ac:dyDescent="0.25">
      <c r="B391" s="71">
        <f t="shared" si="21"/>
        <v>16.300000000000097</v>
      </c>
      <c r="C391" s="4">
        <f t="shared" si="19"/>
        <v>0</v>
      </c>
      <c r="D391" s="4">
        <f t="shared" si="20"/>
        <v>0</v>
      </c>
    </row>
    <row r="392" spans="2:4" x14ac:dyDescent="0.25">
      <c r="B392" s="71">
        <f t="shared" si="21"/>
        <v>16.350000000000097</v>
      </c>
      <c r="C392" s="4">
        <f t="shared" si="19"/>
        <v>0</v>
      </c>
      <c r="D392" s="4">
        <f t="shared" si="20"/>
        <v>0</v>
      </c>
    </row>
    <row r="393" spans="2:4" x14ac:dyDescent="0.25">
      <c r="B393" s="71">
        <f t="shared" si="21"/>
        <v>16.400000000000098</v>
      </c>
      <c r="C393" s="4">
        <f t="shared" si="19"/>
        <v>0</v>
      </c>
      <c r="D393" s="4">
        <f t="shared" si="20"/>
        <v>0</v>
      </c>
    </row>
    <row r="394" spans="2:4" x14ac:dyDescent="0.25">
      <c r="B394" s="71">
        <f t="shared" si="21"/>
        <v>16.450000000000099</v>
      </c>
      <c r="C394" s="4">
        <f t="shared" si="19"/>
        <v>0</v>
      </c>
      <c r="D394" s="4">
        <f t="shared" si="20"/>
        <v>0</v>
      </c>
    </row>
    <row r="395" spans="2:4" x14ac:dyDescent="0.25">
      <c r="B395" s="71">
        <f t="shared" si="21"/>
        <v>16.500000000000099</v>
      </c>
      <c r="C395" s="4">
        <f t="shared" si="19"/>
        <v>0</v>
      </c>
      <c r="D395" s="4">
        <f t="shared" si="20"/>
        <v>0</v>
      </c>
    </row>
    <row r="396" spans="2:4" x14ac:dyDescent="0.25">
      <c r="B396" s="71">
        <f t="shared" si="21"/>
        <v>16.5500000000001</v>
      </c>
      <c r="C396" s="4">
        <f t="shared" si="19"/>
        <v>0</v>
      </c>
      <c r="D396" s="4">
        <f t="shared" si="20"/>
        <v>0</v>
      </c>
    </row>
    <row r="397" spans="2:4" x14ac:dyDescent="0.25">
      <c r="B397" s="71">
        <f t="shared" si="21"/>
        <v>16.600000000000101</v>
      </c>
      <c r="C397" s="4">
        <f t="shared" si="19"/>
        <v>0</v>
      </c>
      <c r="D397" s="4">
        <f t="shared" si="20"/>
        <v>0</v>
      </c>
    </row>
    <row r="398" spans="2:4" x14ac:dyDescent="0.25">
      <c r="B398" s="71">
        <f t="shared" si="21"/>
        <v>16.650000000000102</v>
      </c>
      <c r="C398" s="4">
        <f t="shared" si="19"/>
        <v>0</v>
      </c>
      <c r="D398" s="4">
        <f t="shared" si="20"/>
        <v>0</v>
      </c>
    </row>
    <row r="399" spans="2:4" x14ac:dyDescent="0.25">
      <c r="B399" s="71">
        <f t="shared" si="21"/>
        <v>16.700000000000102</v>
      </c>
      <c r="C399" s="4">
        <f t="shared" si="19"/>
        <v>0</v>
      </c>
      <c r="D399" s="4">
        <f t="shared" si="20"/>
        <v>0</v>
      </c>
    </row>
    <row r="400" spans="2:4" x14ac:dyDescent="0.25">
      <c r="B400" s="71">
        <f t="shared" si="21"/>
        <v>16.750000000000103</v>
      </c>
      <c r="C400" s="4">
        <f t="shared" si="19"/>
        <v>0</v>
      </c>
      <c r="D400" s="4">
        <f t="shared" si="20"/>
        <v>0</v>
      </c>
    </row>
    <row r="401" spans="2:4" x14ac:dyDescent="0.25">
      <c r="B401" s="71">
        <f t="shared" si="21"/>
        <v>16.800000000000104</v>
      </c>
      <c r="C401" s="4">
        <f t="shared" si="19"/>
        <v>0</v>
      </c>
      <c r="D401" s="4">
        <f t="shared" si="20"/>
        <v>0</v>
      </c>
    </row>
    <row r="402" spans="2:4" x14ac:dyDescent="0.25">
      <c r="B402" s="71">
        <f t="shared" si="21"/>
        <v>16.850000000000104</v>
      </c>
      <c r="C402" s="4">
        <f t="shared" si="19"/>
        <v>0</v>
      </c>
      <c r="D402" s="4">
        <f t="shared" si="20"/>
        <v>0</v>
      </c>
    </row>
    <row r="403" spans="2:4" x14ac:dyDescent="0.25">
      <c r="B403" s="71">
        <f t="shared" si="21"/>
        <v>16.900000000000105</v>
      </c>
      <c r="C403" s="4">
        <f t="shared" si="19"/>
        <v>0</v>
      </c>
      <c r="D403" s="4">
        <f t="shared" si="20"/>
        <v>0</v>
      </c>
    </row>
    <row r="404" spans="2:4" x14ac:dyDescent="0.25">
      <c r="B404" s="71">
        <f t="shared" si="21"/>
        <v>16.950000000000106</v>
      </c>
      <c r="C404" s="4">
        <f t="shared" si="19"/>
        <v>0</v>
      </c>
      <c r="D404" s="4">
        <f t="shared" si="20"/>
        <v>0</v>
      </c>
    </row>
    <row r="405" spans="2:4" x14ac:dyDescent="0.25">
      <c r="B405" s="71">
        <f t="shared" si="21"/>
        <v>17.000000000000107</v>
      </c>
      <c r="C405" s="4">
        <f t="shared" si="19"/>
        <v>0</v>
      </c>
      <c r="D405" s="4">
        <f t="shared" si="20"/>
        <v>0</v>
      </c>
    </row>
    <row r="406" spans="2:4" x14ac:dyDescent="0.25">
      <c r="B406" s="71">
        <f t="shared" si="21"/>
        <v>17.050000000000107</v>
      </c>
      <c r="C406" s="4">
        <f t="shared" si="19"/>
        <v>0</v>
      </c>
      <c r="D406" s="4">
        <f t="shared" si="20"/>
        <v>0</v>
      </c>
    </row>
    <row r="407" spans="2:4" x14ac:dyDescent="0.25">
      <c r="B407" s="71">
        <f t="shared" si="21"/>
        <v>17.100000000000108</v>
      </c>
      <c r="C407" s="4">
        <f t="shared" si="19"/>
        <v>0</v>
      </c>
      <c r="D407" s="4">
        <f t="shared" si="20"/>
        <v>0</v>
      </c>
    </row>
    <row r="408" spans="2:4" x14ac:dyDescent="0.25">
      <c r="B408" s="71">
        <f t="shared" si="21"/>
        <v>17.150000000000109</v>
      </c>
      <c r="C408" s="4">
        <f t="shared" si="19"/>
        <v>0</v>
      </c>
      <c r="D408" s="4">
        <f t="shared" si="20"/>
        <v>0</v>
      </c>
    </row>
    <row r="409" spans="2:4" x14ac:dyDescent="0.25">
      <c r="B409" s="71">
        <f t="shared" si="21"/>
        <v>17.200000000000109</v>
      </c>
      <c r="C409" s="4">
        <f t="shared" si="19"/>
        <v>0</v>
      </c>
      <c r="D409" s="4">
        <f t="shared" si="20"/>
        <v>0</v>
      </c>
    </row>
    <row r="410" spans="2:4" x14ac:dyDescent="0.25">
      <c r="B410" s="71">
        <f t="shared" si="21"/>
        <v>17.25000000000011</v>
      </c>
      <c r="C410" s="4">
        <f t="shared" si="19"/>
        <v>0</v>
      </c>
      <c r="D410" s="4">
        <f t="shared" si="20"/>
        <v>0</v>
      </c>
    </row>
    <row r="411" spans="2:4" x14ac:dyDescent="0.25">
      <c r="B411" s="71">
        <f t="shared" si="21"/>
        <v>17.300000000000111</v>
      </c>
      <c r="C411" s="4">
        <f t="shared" si="19"/>
        <v>0</v>
      </c>
      <c r="D411" s="4">
        <f t="shared" si="20"/>
        <v>0</v>
      </c>
    </row>
    <row r="412" spans="2:4" x14ac:dyDescent="0.25">
      <c r="B412" s="71">
        <f t="shared" si="21"/>
        <v>17.350000000000112</v>
      </c>
      <c r="C412" s="4">
        <f t="shared" si="19"/>
        <v>0</v>
      </c>
      <c r="D412" s="4">
        <f t="shared" si="20"/>
        <v>0</v>
      </c>
    </row>
    <row r="413" spans="2:4" x14ac:dyDescent="0.25">
      <c r="B413" s="71">
        <f t="shared" si="21"/>
        <v>17.400000000000112</v>
      </c>
      <c r="C413" s="4">
        <f t="shared" si="19"/>
        <v>0</v>
      </c>
      <c r="D413" s="4">
        <f t="shared" si="20"/>
        <v>0</v>
      </c>
    </row>
    <row r="414" spans="2:4" x14ac:dyDescent="0.25">
      <c r="B414" s="71">
        <f t="shared" si="21"/>
        <v>17.450000000000113</v>
      </c>
      <c r="C414" s="4">
        <f t="shared" si="19"/>
        <v>0</v>
      </c>
      <c r="D414" s="4">
        <f t="shared" si="20"/>
        <v>0</v>
      </c>
    </row>
    <row r="415" spans="2:4" x14ac:dyDescent="0.25">
      <c r="B415" s="71">
        <f t="shared" si="21"/>
        <v>17.500000000000114</v>
      </c>
      <c r="C415" s="4">
        <f t="shared" si="19"/>
        <v>0</v>
      </c>
      <c r="D415" s="4">
        <f t="shared" si="20"/>
        <v>0</v>
      </c>
    </row>
    <row r="416" spans="2:4" x14ac:dyDescent="0.25">
      <c r="B416" s="71">
        <f t="shared" si="21"/>
        <v>17.550000000000114</v>
      </c>
      <c r="C416" s="4">
        <f t="shared" si="19"/>
        <v>0</v>
      </c>
      <c r="D416" s="4">
        <f t="shared" si="20"/>
        <v>0</v>
      </c>
    </row>
    <row r="417" spans="2:4" x14ac:dyDescent="0.25">
      <c r="B417" s="71">
        <f t="shared" si="21"/>
        <v>17.600000000000115</v>
      </c>
      <c r="C417" s="4">
        <f t="shared" si="19"/>
        <v>0</v>
      </c>
      <c r="D417" s="4">
        <f t="shared" si="20"/>
        <v>0</v>
      </c>
    </row>
    <row r="418" spans="2:4" x14ac:dyDescent="0.25">
      <c r="B418" s="71">
        <f t="shared" si="21"/>
        <v>17.650000000000116</v>
      </c>
      <c r="C418" s="4">
        <f t="shared" si="19"/>
        <v>0</v>
      </c>
      <c r="D418" s="4">
        <f t="shared" si="20"/>
        <v>0</v>
      </c>
    </row>
    <row r="419" spans="2:4" x14ac:dyDescent="0.25">
      <c r="B419" s="71">
        <f t="shared" si="21"/>
        <v>17.700000000000117</v>
      </c>
      <c r="C419" s="4">
        <f t="shared" si="19"/>
        <v>0</v>
      </c>
      <c r="D419" s="4">
        <f t="shared" si="20"/>
        <v>0</v>
      </c>
    </row>
    <row r="420" spans="2:4" x14ac:dyDescent="0.25">
      <c r="B420" s="71">
        <f t="shared" si="21"/>
        <v>17.750000000000117</v>
      </c>
      <c r="C420" s="4">
        <f t="shared" si="19"/>
        <v>0</v>
      </c>
      <c r="D420" s="4">
        <f t="shared" si="20"/>
        <v>0</v>
      </c>
    </row>
    <row r="421" spans="2:4" x14ac:dyDescent="0.25">
      <c r="B421" s="71">
        <f t="shared" si="21"/>
        <v>17.800000000000118</v>
      </c>
      <c r="C421" s="4">
        <f t="shared" si="19"/>
        <v>0</v>
      </c>
      <c r="D421" s="4">
        <f t="shared" si="20"/>
        <v>0</v>
      </c>
    </row>
    <row r="422" spans="2:4" x14ac:dyDescent="0.25">
      <c r="B422" s="71">
        <f t="shared" si="21"/>
        <v>17.850000000000119</v>
      </c>
      <c r="C422" s="4">
        <f t="shared" si="19"/>
        <v>0</v>
      </c>
      <c r="D422" s="4">
        <f t="shared" si="20"/>
        <v>0</v>
      </c>
    </row>
    <row r="423" spans="2:4" x14ac:dyDescent="0.25">
      <c r="B423" s="71">
        <f t="shared" si="21"/>
        <v>17.900000000000119</v>
      </c>
      <c r="C423" s="4">
        <f t="shared" si="19"/>
        <v>0</v>
      </c>
      <c r="D423" s="4">
        <f t="shared" si="20"/>
        <v>0</v>
      </c>
    </row>
    <row r="424" spans="2:4" x14ac:dyDescent="0.25">
      <c r="B424" s="71">
        <f t="shared" si="21"/>
        <v>17.95000000000012</v>
      </c>
      <c r="C424" s="4">
        <f t="shared" si="19"/>
        <v>0</v>
      </c>
      <c r="D424" s="4">
        <f t="shared" si="20"/>
        <v>0</v>
      </c>
    </row>
    <row r="425" spans="2:4" x14ac:dyDescent="0.25">
      <c r="B425" s="71">
        <f t="shared" si="21"/>
        <v>18.000000000000121</v>
      </c>
      <c r="C425" s="4">
        <f t="shared" si="19"/>
        <v>0</v>
      </c>
      <c r="D425" s="4">
        <f t="shared" si="20"/>
        <v>0</v>
      </c>
    </row>
    <row r="426" spans="2:4" x14ac:dyDescent="0.25">
      <c r="B426" s="71">
        <f t="shared" si="21"/>
        <v>18.050000000000122</v>
      </c>
      <c r="C426" s="4">
        <f t="shared" si="19"/>
        <v>0</v>
      </c>
      <c r="D426" s="4">
        <f t="shared" si="20"/>
        <v>0</v>
      </c>
    </row>
    <row r="427" spans="2:4" x14ac:dyDescent="0.25">
      <c r="B427" s="71">
        <f t="shared" si="21"/>
        <v>18.100000000000122</v>
      </c>
      <c r="C427" s="4">
        <f t="shared" si="19"/>
        <v>0</v>
      </c>
      <c r="D427" s="4">
        <f t="shared" si="20"/>
        <v>0</v>
      </c>
    </row>
    <row r="428" spans="2:4" x14ac:dyDescent="0.25">
      <c r="B428" s="71">
        <f t="shared" si="21"/>
        <v>18.150000000000123</v>
      </c>
      <c r="C428" s="4">
        <f t="shared" si="19"/>
        <v>0</v>
      </c>
      <c r="D428" s="4">
        <f t="shared" si="20"/>
        <v>0</v>
      </c>
    </row>
    <row r="429" spans="2:4" x14ac:dyDescent="0.25">
      <c r="B429" s="71">
        <f t="shared" si="21"/>
        <v>18.200000000000124</v>
      </c>
      <c r="C429" s="4">
        <f t="shared" si="19"/>
        <v>0</v>
      </c>
      <c r="D429" s="4">
        <f t="shared" si="20"/>
        <v>0</v>
      </c>
    </row>
    <row r="430" spans="2:4" x14ac:dyDescent="0.25">
      <c r="B430" s="71">
        <f t="shared" si="21"/>
        <v>18.250000000000124</v>
      </c>
      <c r="C430" s="4">
        <f t="shared" si="19"/>
        <v>0</v>
      </c>
      <c r="D430" s="4">
        <f t="shared" si="20"/>
        <v>0</v>
      </c>
    </row>
    <row r="431" spans="2:4" x14ac:dyDescent="0.25">
      <c r="B431" s="71">
        <f t="shared" si="21"/>
        <v>18.300000000000125</v>
      </c>
      <c r="C431" s="4">
        <f t="shared" si="19"/>
        <v>0</v>
      </c>
      <c r="D431" s="4">
        <f t="shared" si="20"/>
        <v>0</v>
      </c>
    </row>
    <row r="432" spans="2:4" x14ac:dyDescent="0.25">
      <c r="B432" s="71">
        <f t="shared" si="21"/>
        <v>18.350000000000126</v>
      </c>
      <c r="C432" s="4">
        <f t="shared" si="19"/>
        <v>0</v>
      </c>
      <c r="D432" s="4">
        <f t="shared" si="20"/>
        <v>0</v>
      </c>
    </row>
    <row r="433" spans="2:4" x14ac:dyDescent="0.25">
      <c r="B433" s="71">
        <f t="shared" si="21"/>
        <v>18.400000000000126</v>
      </c>
      <c r="C433" s="4">
        <f t="shared" si="19"/>
        <v>0</v>
      </c>
      <c r="D433" s="4">
        <f t="shared" si="20"/>
        <v>0</v>
      </c>
    </row>
    <row r="434" spans="2:4" x14ac:dyDescent="0.25">
      <c r="B434" s="71">
        <f t="shared" si="21"/>
        <v>18.450000000000127</v>
      </c>
      <c r="C434" s="4">
        <f t="shared" si="19"/>
        <v>0</v>
      </c>
      <c r="D434" s="4">
        <f t="shared" si="20"/>
        <v>0</v>
      </c>
    </row>
    <row r="435" spans="2:4" x14ac:dyDescent="0.25">
      <c r="B435" s="71">
        <f t="shared" si="21"/>
        <v>18.500000000000128</v>
      </c>
      <c r="C435" s="4">
        <f t="shared" si="19"/>
        <v>0</v>
      </c>
      <c r="D435" s="4">
        <f t="shared" si="20"/>
        <v>0</v>
      </c>
    </row>
    <row r="436" spans="2:4" x14ac:dyDescent="0.25">
      <c r="B436" s="71">
        <f t="shared" si="21"/>
        <v>18.550000000000129</v>
      </c>
      <c r="C436" s="4">
        <f t="shared" si="19"/>
        <v>0</v>
      </c>
      <c r="D436" s="4">
        <f t="shared" si="20"/>
        <v>0</v>
      </c>
    </row>
    <row r="437" spans="2:4" x14ac:dyDescent="0.25">
      <c r="B437" s="71">
        <f t="shared" si="21"/>
        <v>18.600000000000129</v>
      </c>
      <c r="C437" s="4">
        <f t="shared" si="19"/>
        <v>0</v>
      </c>
      <c r="D437" s="4">
        <f t="shared" si="20"/>
        <v>0</v>
      </c>
    </row>
    <row r="438" spans="2:4" x14ac:dyDescent="0.25">
      <c r="B438" s="71">
        <f t="shared" si="21"/>
        <v>18.65000000000013</v>
      </c>
      <c r="C438" s="4">
        <f t="shared" si="19"/>
        <v>0</v>
      </c>
      <c r="D438" s="4">
        <f t="shared" si="20"/>
        <v>0</v>
      </c>
    </row>
    <row r="439" spans="2:4" x14ac:dyDescent="0.25">
      <c r="B439" s="71">
        <f t="shared" si="21"/>
        <v>18.700000000000131</v>
      </c>
      <c r="C439" s="4">
        <f t="shared" si="19"/>
        <v>0</v>
      </c>
      <c r="D439" s="4">
        <f t="shared" si="20"/>
        <v>0</v>
      </c>
    </row>
    <row r="440" spans="2:4" x14ac:dyDescent="0.25">
      <c r="B440" s="71">
        <f t="shared" si="21"/>
        <v>18.750000000000131</v>
      </c>
      <c r="C440" s="4">
        <f t="shared" si="19"/>
        <v>0</v>
      </c>
      <c r="D440" s="4">
        <f t="shared" si="20"/>
        <v>0</v>
      </c>
    </row>
    <row r="441" spans="2:4" x14ac:dyDescent="0.25">
      <c r="B441" s="71">
        <f t="shared" si="21"/>
        <v>18.800000000000132</v>
      </c>
      <c r="C441" s="4">
        <f t="shared" si="19"/>
        <v>0</v>
      </c>
      <c r="D441" s="4">
        <f t="shared" si="20"/>
        <v>0</v>
      </c>
    </row>
    <row r="442" spans="2:4" x14ac:dyDescent="0.25">
      <c r="B442" s="71">
        <f t="shared" si="21"/>
        <v>18.850000000000133</v>
      </c>
      <c r="C442" s="4">
        <f t="shared" si="19"/>
        <v>0</v>
      </c>
      <c r="D442" s="4">
        <f t="shared" si="20"/>
        <v>0</v>
      </c>
    </row>
    <row r="443" spans="2:4" x14ac:dyDescent="0.25">
      <c r="B443" s="71">
        <f t="shared" si="21"/>
        <v>18.900000000000134</v>
      </c>
      <c r="C443" s="4">
        <f t="shared" si="19"/>
        <v>0</v>
      </c>
      <c r="D443" s="4">
        <f t="shared" si="20"/>
        <v>0</v>
      </c>
    </row>
    <row r="444" spans="2:4" x14ac:dyDescent="0.25">
      <c r="B444" s="71">
        <f t="shared" si="21"/>
        <v>18.950000000000134</v>
      </c>
      <c r="C444" s="4">
        <f t="shared" si="19"/>
        <v>0</v>
      </c>
      <c r="D444" s="4">
        <f t="shared" si="20"/>
        <v>0</v>
      </c>
    </row>
    <row r="445" spans="2:4" x14ac:dyDescent="0.25">
      <c r="B445" s="71">
        <f t="shared" si="21"/>
        <v>19.000000000000135</v>
      </c>
      <c r="C445" s="4">
        <f t="shared" si="19"/>
        <v>0</v>
      </c>
      <c r="D445" s="4">
        <f t="shared" si="20"/>
        <v>0</v>
      </c>
    </row>
    <row r="446" spans="2:4" x14ac:dyDescent="0.25">
      <c r="B446" s="71">
        <f t="shared" si="21"/>
        <v>19.050000000000136</v>
      </c>
      <c r="C446" s="4">
        <f t="shared" si="19"/>
        <v>0</v>
      </c>
      <c r="D446" s="4">
        <f t="shared" si="20"/>
        <v>0</v>
      </c>
    </row>
    <row r="447" spans="2:4" x14ac:dyDescent="0.25">
      <c r="B447" s="71">
        <f t="shared" si="21"/>
        <v>19.100000000000136</v>
      </c>
      <c r="C447" s="4">
        <f t="shared" si="19"/>
        <v>0</v>
      </c>
      <c r="D447" s="4">
        <f t="shared" si="20"/>
        <v>0</v>
      </c>
    </row>
    <row r="448" spans="2:4" x14ac:dyDescent="0.25">
      <c r="B448" s="71">
        <f t="shared" si="21"/>
        <v>19.150000000000137</v>
      </c>
      <c r="C448" s="4">
        <f t="shared" si="19"/>
        <v>0</v>
      </c>
      <c r="D448" s="4">
        <f t="shared" si="20"/>
        <v>0</v>
      </c>
    </row>
    <row r="449" spans="2:4" x14ac:dyDescent="0.25">
      <c r="B449" s="71">
        <f t="shared" si="21"/>
        <v>19.200000000000138</v>
      </c>
      <c r="C449" s="4">
        <f t="shared" ref="C449:C512" si="22">_xlfn.NORM.DIST(B449,$C$45,C$46,FALSE)*G1_Weight</f>
        <v>0</v>
      </c>
      <c r="D449" s="4">
        <f t="shared" ref="D449:D512" si="23">_xlfn.NORM.DIST(B449,D$45,D$46,FALSE)*G2_Weight</f>
        <v>0</v>
      </c>
    </row>
    <row r="450" spans="2:4" x14ac:dyDescent="0.25">
      <c r="B450" s="71">
        <f t="shared" ref="B450:B513" si="24">B449+$A$65</f>
        <v>19.250000000000139</v>
      </c>
      <c r="C450" s="4">
        <f t="shared" si="22"/>
        <v>0</v>
      </c>
      <c r="D450" s="4">
        <f t="shared" si="23"/>
        <v>0</v>
      </c>
    </row>
    <row r="451" spans="2:4" x14ac:dyDescent="0.25">
      <c r="B451" s="71">
        <f t="shared" si="24"/>
        <v>19.300000000000139</v>
      </c>
      <c r="C451" s="4">
        <f t="shared" si="22"/>
        <v>0</v>
      </c>
      <c r="D451" s="4">
        <f t="shared" si="23"/>
        <v>0</v>
      </c>
    </row>
    <row r="452" spans="2:4" x14ac:dyDescent="0.25">
      <c r="B452" s="71">
        <f t="shared" si="24"/>
        <v>19.35000000000014</v>
      </c>
      <c r="C452" s="4">
        <f t="shared" si="22"/>
        <v>0</v>
      </c>
      <c r="D452" s="4">
        <f t="shared" si="23"/>
        <v>0</v>
      </c>
    </row>
    <row r="453" spans="2:4" x14ac:dyDescent="0.25">
      <c r="B453" s="71">
        <f t="shared" si="24"/>
        <v>19.400000000000141</v>
      </c>
      <c r="C453" s="4">
        <f t="shared" si="22"/>
        <v>0</v>
      </c>
      <c r="D453" s="4">
        <f t="shared" si="23"/>
        <v>0</v>
      </c>
    </row>
    <row r="454" spans="2:4" x14ac:dyDescent="0.25">
      <c r="B454" s="71">
        <f t="shared" si="24"/>
        <v>19.450000000000141</v>
      </c>
      <c r="C454" s="4">
        <f t="shared" si="22"/>
        <v>0</v>
      </c>
      <c r="D454" s="4">
        <f t="shared" si="23"/>
        <v>0</v>
      </c>
    </row>
    <row r="455" spans="2:4" x14ac:dyDescent="0.25">
      <c r="B455" s="71">
        <f t="shared" si="24"/>
        <v>19.500000000000142</v>
      </c>
      <c r="C455" s="4">
        <f t="shared" si="22"/>
        <v>0</v>
      </c>
      <c r="D455" s="4">
        <f t="shared" si="23"/>
        <v>0</v>
      </c>
    </row>
    <row r="456" spans="2:4" x14ac:dyDescent="0.25">
      <c r="B456" s="71">
        <f t="shared" si="24"/>
        <v>19.550000000000143</v>
      </c>
      <c r="C456" s="4">
        <f t="shared" si="22"/>
        <v>0</v>
      </c>
      <c r="D456" s="4">
        <f t="shared" si="23"/>
        <v>0</v>
      </c>
    </row>
    <row r="457" spans="2:4" x14ac:dyDescent="0.25">
      <c r="B457" s="71">
        <f t="shared" si="24"/>
        <v>19.600000000000144</v>
      </c>
      <c r="C457" s="4">
        <f t="shared" si="22"/>
        <v>0</v>
      </c>
      <c r="D457" s="4">
        <f t="shared" si="23"/>
        <v>0</v>
      </c>
    </row>
    <row r="458" spans="2:4" x14ac:dyDescent="0.25">
      <c r="B458" s="71">
        <f t="shared" si="24"/>
        <v>19.650000000000144</v>
      </c>
      <c r="C458" s="4">
        <f t="shared" si="22"/>
        <v>0</v>
      </c>
      <c r="D458" s="4">
        <f t="shared" si="23"/>
        <v>0</v>
      </c>
    </row>
    <row r="459" spans="2:4" x14ac:dyDescent="0.25">
      <c r="B459" s="71">
        <f t="shared" si="24"/>
        <v>19.700000000000145</v>
      </c>
      <c r="C459" s="4">
        <f t="shared" si="22"/>
        <v>0</v>
      </c>
      <c r="D459" s="4">
        <f t="shared" si="23"/>
        <v>0</v>
      </c>
    </row>
    <row r="460" spans="2:4" x14ac:dyDescent="0.25">
      <c r="B460" s="71">
        <f t="shared" si="24"/>
        <v>19.750000000000146</v>
      </c>
      <c r="C460" s="4">
        <f t="shared" si="22"/>
        <v>0</v>
      </c>
      <c r="D460" s="4">
        <f t="shared" si="23"/>
        <v>0</v>
      </c>
    </row>
    <row r="461" spans="2:4" x14ac:dyDescent="0.25">
      <c r="B461" s="71">
        <f t="shared" si="24"/>
        <v>19.800000000000146</v>
      </c>
      <c r="C461" s="4">
        <f t="shared" si="22"/>
        <v>0</v>
      </c>
      <c r="D461" s="4">
        <f t="shared" si="23"/>
        <v>0</v>
      </c>
    </row>
    <row r="462" spans="2:4" x14ac:dyDescent="0.25">
      <c r="B462" s="71">
        <f t="shared" si="24"/>
        <v>19.850000000000147</v>
      </c>
      <c r="C462" s="4">
        <f t="shared" si="22"/>
        <v>0</v>
      </c>
      <c r="D462" s="4">
        <f t="shared" si="23"/>
        <v>0</v>
      </c>
    </row>
    <row r="463" spans="2:4" x14ac:dyDescent="0.25">
      <c r="B463" s="71">
        <f t="shared" si="24"/>
        <v>19.900000000000148</v>
      </c>
      <c r="C463" s="4">
        <f t="shared" si="22"/>
        <v>0</v>
      </c>
      <c r="D463" s="4">
        <f t="shared" si="23"/>
        <v>0</v>
      </c>
    </row>
    <row r="464" spans="2:4" x14ac:dyDescent="0.25">
      <c r="B464" s="71">
        <f t="shared" si="24"/>
        <v>19.950000000000149</v>
      </c>
      <c r="C464" s="4">
        <f t="shared" si="22"/>
        <v>0</v>
      </c>
      <c r="D464" s="4">
        <f t="shared" si="23"/>
        <v>0</v>
      </c>
    </row>
    <row r="465" spans="2:4" x14ac:dyDescent="0.25">
      <c r="B465" s="71">
        <f t="shared" si="24"/>
        <v>20.000000000000149</v>
      </c>
      <c r="C465" s="4">
        <f t="shared" si="22"/>
        <v>0</v>
      </c>
      <c r="D465" s="4">
        <f t="shared" si="23"/>
        <v>0</v>
      </c>
    </row>
    <row r="466" spans="2:4" x14ac:dyDescent="0.25">
      <c r="B466" s="71">
        <f t="shared" si="24"/>
        <v>20.05000000000015</v>
      </c>
      <c r="C466" s="4">
        <f t="shared" si="22"/>
        <v>0</v>
      </c>
      <c r="D466" s="4">
        <f t="shared" si="23"/>
        <v>0</v>
      </c>
    </row>
    <row r="467" spans="2:4" x14ac:dyDescent="0.25">
      <c r="B467" s="71">
        <f t="shared" si="24"/>
        <v>20.100000000000151</v>
      </c>
      <c r="C467" s="4">
        <f t="shared" si="22"/>
        <v>0</v>
      </c>
      <c r="D467" s="4">
        <f t="shared" si="23"/>
        <v>0</v>
      </c>
    </row>
    <row r="468" spans="2:4" x14ac:dyDescent="0.25">
      <c r="B468" s="71">
        <f t="shared" si="24"/>
        <v>20.150000000000151</v>
      </c>
      <c r="C468" s="4">
        <f t="shared" si="22"/>
        <v>0</v>
      </c>
      <c r="D468" s="4">
        <f t="shared" si="23"/>
        <v>0</v>
      </c>
    </row>
    <row r="469" spans="2:4" x14ac:dyDescent="0.25">
      <c r="B469" s="71">
        <f t="shared" si="24"/>
        <v>20.200000000000152</v>
      </c>
      <c r="C469" s="4">
        <f t="shared" si="22"/>
        <v>0</v>
      </c>
      <c r="D469" s="4">
        <f t="shared" si="23"/>
        <v>0</v>
      </c>
    </row>
    <row r="470" spans="2:4" x14ac:dyDescent="0.25">
      <c r="B470" s="71">
        <f t="shared" si="24"/>
        <v>20.250000000000153</v>
      </c>
      <c r="C470" s="4">
        <f t="shared" si="22"/>
        <v>0</v>
      </c>
      <c r="D470" s="4">
        <f t="shared" si="23"/>
        <v>0</v>
      </c>
    </row>
    <row r="471" spans="2:4" x14ac:dyDescent="0.25">
      <c r="B471" s="71">
        <f t="shared" si="24"/>
        <v>20.300000000000153</v>
      </c>
      <c r="C471" s="4">
        <f t="shared" si="22"/>
        <v>0</v>
      </c>
      <c r="D471" s="4">
        <f t="shared" si="23"/>
        <v>0</v>
      </c>
    </row>
    <row r="472" spans="2:4" x14ac:dyDescent="0.25">
      <c r="B472" s="71">
        <f t="shared" si="24"/>
        <v>20.350000000000154</v>
      </c>
      <c r="C472" s="4">
        <f t="shared" si="22"/>
        <v>0</v>
      </c>
      <c r="D472" s="4">
        <f t="shared" si="23"/>
        <v>0</v>
      </c>
    </row>
    <row r="473" spans="2:4" x14ac:dyDescent="0.25">
      <c r="B473" s="71">
        <f t="shared" si="24"/>
        <v>20.400000000000155</v>
      </c>
      <c r="C473" s="4">
        <f t="shared" si="22"/>
        <v>0</v>
      </c>
      <c r="D473" s="4">
        <f t="shared" si="23"/>
        <v>0</v>
      </c>
    </row>
    <row r="474" spans="2:4" x14ac:dyDescent="0.25">
      <c r="B474" s="71">
        <f t="shared" si="24"/>
        <v>20.450000000000156</v>
      </c>
      <c r="C474" s="4">
        <f t="shared" si="22"/>
        <v>0</v>
      </c>
      <c r="D474" s="4">
        <f t="shared" si="23"/>
        <v>0</v>
      </c>
    </row>
    <row r="475" spans="2:4" x14ac:dyDescent="0.25">
      <c r="B475" s="71">
        <f t="shared" si="24"/>
        <v>20.500000000000156</v>
      </c>
      <c r="C475" s="4">
        <f t="shared" si="22"/>
        <v>0</v>
      </c>
      <c r="D475" s="4">
        <f t="shared" si="23"/>
        <v>0</v>
      </c>
    </row>
    <row r="476" spans="2:4" x14ac:dyDescent="0.25">
      <c r="B476" s="71">
        <f t="shared" si="24"/>
        <v>20.550000000000157</v>
      </c>
      <c r="C476" s="4">
        <f t="shared" si="22"/>
        <v>0</v>
      </c>
      <c r="D476" s="4">
        <f t="shared" si="23"/>
        <v>0</v>
      </c>
    </row>
    <row r="477" spans="2:4" x14ac:dyDescent="0.25">
      <c r="B477" s="71">
        <f t="shared" si="24"/>
        <v>20.600000000000158</v>
      </c>
      <c r="C477" s="4">
        <f t="shared" si="22"/>
        <v>0</v>
      </c>
      <c r="D477" s="4">
        <f t="shared" si="23"/>
        <v>0</v>
      </c>
    </row>
    <row r="478" spans="2:4" x14ac:dyDescent="0.25">
      <c r="B478" s="71">
        <f t="shared" si="24"/>
        <v>20.650000000000158</v>
      </c>
      <c r="C478" s="4">
        <f t="shared" si="22"/>
        <v>0</v>
      </c>
      <c r="D478" s="4">
        <f t="shared" si="23"/>
        <v>0</v>
      </c>
    </row>
    <row r="479" spans="2:4" x14ac:dyDescent="0.25">
      <c r="B479" s="71">
        <f t="shared" si="24"/>
        <v>20.700000000000159</v>
      </c>
      <c r="C479" s="4">
        <f t="shared" si="22"/>
        <v>0</v>
      </c>
      <c r="D479" s="4">
        <f t="shared" si="23"/>
        <v>0</v>
      </c>
    </row>
    <row r="480" spans="2:4" x14ac:dyDescent="0.25">
      <c r="B480" s="71">
        <f t="shared" si="24"/>
        <v>20.75000000000016</v>
      </c>
      <c r="C480" s="4">
        <f t="shared" si="22"/>
        <v>0</v>
      </c>
      <c r="D480" s="4">
        <f t="shared" si="23"/>
        <v>0</v>
      </c>
    </row>
    <row r="481" spans="2:4" x14ac:dyDescent="0.25">
      <c r="B481" s="71">
        <f t="shared" si="24"/>
        <v>20.800000000000161</v>
      </c>
      <c r="C481" s="4">
        <f t="shared" si="22"/>
        <v>0</v>
      </c>
      <c r="D481" s="4">
        <f t="shared" si="23"/>
        <v>0</v>
      </c>
    </row>
    <row r="482" spans="2:4" x14ac:dyDescent="0.25">
      <c r="B482" s="71">
        <f t="shared" si="24"/>
        <v>20.850000000000161</v>
      </c>
      <c r="C482" s="4">
        <f t="shared" si="22"/>
        <v>0</v>
      </c>
      <c r="D482" s="4">
        <f t="shared" si="23"/>
        <v>0</v>
      </c>
    </row>
    <row r="483" spans="2:4" x14ac:dyDescent="0.25">
      <c r="B483" s="71">
        <f t="shared" si="24"/>
        <v>20.900000000000162</v>
      </c>
      <c r="C483" s="4">
        <f t="shared" si="22"/>
        <v>0</v>
      </c>
      <c r="D483" s="4">
        <f t="shared" si="23"/>
        <v>0</v>
      </c>
    </row>
    <row r="484" spans="2:4" x14ac:dyDescent="0.25">
      <c r="B484" s="71">
        <f t="shared" si="24"/>
        <v>20.950000000000163</v>
      </c>
      <c r="C484" s="4">
        <f t="shared" si="22"/>
        <v>0</v>
      </c>
      <c r="D484" s="4">
        <f t="shared" si="23"/>
        <v>0</v>
      </c>
    </row>
    <row r="485" spans="2:4" x14ac:dyDescent="0.25">
      <c r="B485" s="71">
        <f t="shared" si="24"/>
        <v>21.000000000000163</v>
      </c>
      <c r="C485" s="4">
        <f t="shared" si="22"/>
        <v>0</v>
      </c>
      <c r="D485" s="4">
        <f t="shared" si="23"/>
        <v>0</v>
      </c>
    </row>
    <row r="486" spans="2:4" x14ac:dyDescent="0.25">
      <c r="B486" s="71">
        <f t="shared" si="24"/>
        <v>21.050000000000164</v>
      </c>
      <c r="C486" s="4">
        <f t="shared" si="22"/>
        <v>0</v>
      </c>
      <c r="D486" s="4">
        <f t="shared" si="23"/>
        <v>0</v>
      </c>
    </row>
    <row r="487" spans="2:4" x14ac:dyDescent="0.25">
      <c r="B487" s="71">
        <f t="shared" si="24"/>
        <v>21.100000000000165</v>
      </c>
      <c r="C487" s="4">
        <f t="shared" si="22"/>
        <v>0</v>
      </c>
      <c r="D487" s="4">
        <f t="shared" si="23"/>
        <v>0</v>
      </c>
    </row>
    <row r="488" spans="2:4" x14ac:dyDescent="0.25">
      <c r="B488" s="71">
        <f t="shared" si="24"/>
        <v>21.150000000000166</v>
      </c>
      <c r="C488" s="4">
        <f t="shared" si="22"/>
        <v>0</v>
      </c>
      <c r="D488" s="4">
        <f t="shared" si="23"/>
        <v>0</v>
      </c>
    </row>
    <row r="489" spans="2:4" x14ac:dyDescent="0.25">
      <c r="B489" s="71">
        <f t="shared" si="24"/>
        <v>21.200000000000166</v>
      </c>
      <c r="C489" s="4">
        <f t="shared" si="22"/>
        <v>0</v>
      </c>
      <c r="D489" s="4">
        <f t="shared" si="23"/>
        <v>0</v>
      </c>
    </row>
    <row r="490" spans="2:4" x14ac:dyDescent="0.25">
      <c r="B490" s="71">
        <f t="shared" si="24"/>
        <v>21.250000000000167</v>
      </c>
      <c r="C490" s="4">
        <f t="shared" si="22"/>
        <v>0</v>
      </c>
      <c r="D490" s="4">
        <f t="shared" si="23"/>
        <v>0</v>
      </c>
    </row>
    <row r="491" spans="2:4" x14ac:dyDescent="0.25">
      <c r="B491" s="71">
        <f t="shared" si="24"/>
        <v>21.300000000000168</v>
      </c>
      <c r="C491" s="4">
        <f t="shared" si="22"/>
        <v>0</v>
      </c>
      <c r="D491" s="4">
        <f t="shared" si="23"/>
        <v>0</v>
      </c>
    </row>
    <row r="492" spans="2:4" x14ac:dyDescent="0.25">
      <c r="B492" s="71">
        <f t="shared" si="24"/>
        <v>21.350000000000168</v>
      </c>
      <c r="C492" s="4">
        <f t="shared" si="22"/>
        <v>0</v>
      </c>
      <c r="D492" s="4">
        <f t="shared" si="23"/>
        <v>0</v>
      </c>
    </row>
    <row r="493" spans="2:4" x14ac:dyDescent="0.25">
      <c r="B493" s="71">
        <f t="shared" si="24"/>
        <v>21.400000000000169</v>
      </c>
      <c r="C493" s="4">
        <f t="shared" si="22"/>
        <v>0</v>
      </c>
      <c r="D493" s="4">
        <f t="shared" si="23"/>
        <v>0</v>
      </c>
    </row>
    <row r="494" spans="2:4" x14ac:dyDescent="0.25">
      <c r="B494" s="71">
        <f t="shared" si="24"/>
        <v>21.45000000000017</v>
      </c>
      <c r="C494" s="4">
        <f t="shared" si="22"/>
        <v>0</v>
      </c>
      <c r="D494" s="4">
        <f t="shared" si="23"/>
        <v>0</v>
      </c>
    </row>
    <row r="495" spans="2:4" x14ac:dyDescent="0.25">
      <c r="B495" s="71">
        <f t="shared" si="24"/>
        <v>21.500000000000171</v>
      </c>
      <c r="C495" s="4">
        <f t="shared" si="22"/>
        <v>0</v>
      </c>
      <c r="D495" s="4">
        <f t="shared" si="23"/>
        <v>0</v>
      </c>
    </row>
    <row r="496" spans="2:4" x14ac:dyDescent="0.25">
      <c r="B496" s="71">
        <f t="shared" si="24"/>
        <v>21.550000000000171</v>
      </c>
      <c r="C496" s="4">
        <f t="shared" si="22"/>
        <v>0</v>
      </c>
      <c r="D496" s="4">
        <f t="shared" si="23"/>
        <v>0</v>
      </c>
    </row>
    <row r="497" spans="2:4" x14ac:dyDescent="0.25">
      <c r="B497" s="71">
        <f t="shared" si="24"/>
        <v>21.600000000000172</v>
      </c>
      <c r="C497" s="4">
        <f t="shared" si="22"/>
        <v>0</v>
      </c>
      <c r="D497" s="4">
        <f t="shared" si="23"/>
        <v>0</v>
      </c>
    </row>
    <row r="498" spans="2:4" x14ac:dyDescent="0.25">
      <c r="B498" s="71">
        <f t="shared" si="24"/>
        <v>21.650000000000173</v>
      </c>
      <c r="C498" s="4">
        <f t="shared" si="22"/>
        <v>0</v>
      </c>
      <c r="D498" s="4">
        <f t="shared" si="23"/>
        <v>0</v>
      </c>
    </row>
    <row r="499" spans="2:4" x14ac:dyDescent="0.25">
      <c r="B499" s="71">
        <f t="shared" si="24"/>
        <v>21.700000000000173</v>
      </c>
      <c r="C499" s="4">
        <f t="shared" si="22"/>
        <v>0</v>
      </c>
      <c r="D499" s="4">
        <f t="shared" si="23"/>
        <v>0</v>
      </c>
    </row>
    <row r="500" spans="2:4" x14ac:dyDescent="0.25">
      <c r="B500" s="71">
        <f t="shared" si="24"/>
        <v>21.750000000000174</v>
      </c>
      <c r="C500" s="4">
        <f t="shared" si="22"/>
        <v>0</v>
      </c>
      <c r="D500" s="4">
        <f t="shared" si="23"/>
        <v>0</v>
      </c>
    </row>
    <row r="501" spans="2:4" x14ac:dyDescent="0.25">
      <c r="B501" s="71">
        <f t="shared" si="24"/>
        <v>21.800000000000175</v>
      </c>
      <c r="C501" s="4">
        <f t="shared" si="22"/>
        <v>0</v>
      </c>
      <c r="D501" s="4">
        <f t="shared" si="23"/>
        <v>0</v>
      </c>
    </row>
    <row r="502" spans="2:4" x14ac:dyDescent="0.25">
      <c r="B502" s="71">
        <f t="shared" si="24"/>
        <v>21.850000000000176</v>
      </c>
      <c r="C502" s="4">
        <f t="shared" si="22"/>
        <v>0</v>
      </c>
      <c r="D502" s="4">
        <f t="shared" si="23"/>
        <v>0</v>
      </c>
    </row>
    <row r="503" spans="2:4" x14ac:dyDescent="0.25">
      <c r="B503" s="71">
        <f t="shared" si="24"/>
        <v>21.900000000000176</v>
      </c>
      <c r="C503" s="4">
        <f t="shared" si="22"/>
        <v>0</v>
      </c>
      <c r="D503" s="4">
        <f t="shared" si="23"/>
        <v>0</v>
      </c>
    </row>
    <row r="504" spans="2:4" x14ac:dyDescent="0.25">
      <c r="B504" s="71">
        <f t="shared" si="24"/>
        <v>21.950000000000177</v>
      </c>
      <c r="C504" s="4">
        <f t="shared" si="22"/>
        <v>0</v>
      </c>
      <c r="D504" s="4">
        <f t="shared" si="23"/>
        <v>0</v>
      </c>
    </row>
    <row r="505" spans="2:4" x14ac:dyDescent="0.25">
      <c r="B505" s="71">
        <f t="shared" si="24"/>
        <v>22.000000000000178</v>
      </c>
      <c r="C505" s="4">
        <f t="shared" si="22"/>
        <v>0</v>
      </c>
      <c r="D505" s="4">
        <f t="shared" si="23"/>
        <v>0</v>
      </c>
    </row>
    <row r="506" spans="2:4" x14ac:dyDescent="0.25">
      <c r="B506" s="71">
        <f t="shared" si="24"/>
        <v>22.050000000000178</v>
      </c>
      <c r="C506" s="4">
        <f t="shared" si="22"/>
        <v>0</v>
      </c>
      <c r="D506" s="4">
        <f t="shared" si="23"/>
        <v>0</v>
      </c>
    </row>
    <row r="507" spans="2:4" x14ac:dyDescent="0.25">
      <c r="B507" s="71">
        <f t="shared" si="24"/>
        <v>22.100000000000179</v>
      </c>
      <c r="C507" s="4">
        <f t="shared" si="22"/>
        <v>0</v>
      </c>
      <c r="D507" s="4">
        <f t="shared" si="23"/>
        <v>0</v>
      </c>
    </row>
    <row r="508" spans="2:4" x14ac:dyDescent="0.25">
      <c r="B508" s="71">
        <f t="shared" si="24"/>
        <v>22.15000000000018</v>
      </c>
      <c r="C508" s="4">
        <f t="shared" si="22"/>
        <v>0</v>
      </c>
      <c r="D508" s="4">
        <f t="shared" si="23"/>
        <v>0</v>
      </c>
    </row>
    <row r="509" spans="2:4" x14ac:dyDescent="0.25">
      <c r="B509" s="71">
        <f t="shared" si="24"/>
        <v>22.20000000000018</v>
      </c>
      <c r="C509" s="4">
        <f t="shared" si="22"/>
        <v>0</v>
      </c>
      <c r="D509" s="4">
        <f t="shared" si="23"/>
        <v>0</v>
      </c>
    </row>
    <row r="510" spans="2:4" x14ac:dyDescent="0.25">
      <c r="B510" s="71">
        <f t="shared" si="24"/>
        <v>22.250000000000181</v>
      </c>
      <c r="C510" s="4">
        <f t="shared" si="22"/>
        <v>0</v>
      </c>
      <c r="D510" s="4">
        <f t="shared" si="23"/>
        <v>0</v>
      </c>
    </row>
    <row r="511" spans="2:4" x14ac:dyDescent="0.25">
      <c r="B511" s="71">
        <f t="shared" si="24"/>
        <v>22.300000000000182</v>
      </c>
      <c r="C511" s="4">
        <f t="shared" si="22"/>
        <v>0</v>
      </c>
      <c r="D511" s="4">
        <f t="shared" si="23"/>
        <v>0</v>
      </c>
    </row>
    <row r="512" spans="2:4" x14ac:dyDescent="0.25">
      <c r="B512" s="71">
        <f t="shared" si="24"/>
        <v>22.350000000000183</v>
      </c>
      <c r="C512" s="4">
        <f t="shared" si="22"/>
        <v>0</v>
      </c>
      <c r="D512" s="4">
        <f t="shared" si="23"/>
        <v>0</v>
      </c>
    </row>
    <row r="513" spans="2:4" x14ac:dyDescent="0.25">
      <c r="B513" s="71">
        <f t="shared" si="24"/>
        <v>22.400000000000183</v>
      </c>
      <c r="C513" s="4">
        <f t="shared" ref="C513:C536" si="25">_xlfn.NORM.DIST(B513,$C$45,C$46,FALSE)*G1_Weight</f>
        <v>0</v>
      </c>
      <c r="D513" s="4">
        <f t="shared" ref="D513:D536" si="26">_xlfn.NORM.DIST(B513,D$45,D$46,FALSE)*G2_Weight</f>
        <v>0</v>
      </c>
    </row>
    <row r="514" spans="2:4" x14ac:dyDescent="0.25">
      <c r="B514" s="71">
        <f t="shared" ref="B514:B536" si="27">B513+$A$65</f>
        <v>22.450000000000184</v>
      </c>
      <c r="C514" s="4">
        <f t="shared" si="25"/>
        <v>0</v>
      </c>
      <c r="D514" s="4">
        <f t="shared" si="26"/>
        <v>0</v>
      </c>
    </row>
    <row r="515" spans="2:4" x14ac:dyDescent="0.25">
      <c r="B515" s="71">
        <f t="shared" si="27"/>
        <v>22.500000000000185</v>
      </c>
      <c r="C515" s="4">
        <f t="shared" si="25"/>
        <v>0</v>
      </c>
      <c r="D515" s="4">
        <f t="shared" si="26"/>
        <v>0</v>
      </c>
    </row>
    <row r="516" spans="2:4" x14ac:dyDescent="0.25">
      <c r="B516" s="71">
        <f t="shared" si="27"/>
        <v>22.550000000000185</v>
      </c>
      <c r="C516" s="4">
        <f t="shared" si="25"/>
        <v>0</v>
      </c>
      <c r="D516" s="4">
        <f t="shared" si="26"/>
        <v>0</v>
      </c>
    </row>
    <row r="517" spans="2:4" x14ac:dyDescent="0.25">
      <c r="B517" s="71">
        <f t="shared" si="27"/>
        <v>22.600000000000186</v>
      </c>
      <c r="C517" s="4">
        <f t="shared" si="25"/>
        <v>0</v>
      </c>
      <c r="D517" s="4">
        <f t="shared" si="26"/>
        <v>0</v>
      </c>
    </row>
    <row r="518" spans="2:4" x14ac:dyDescent="0.25">
      <c r="B518" s="71">
        <f t="shared" si="27"/>
        <v>22.650000000000187</v>
      </c>
      <c r="C518" s="4">
        <f t="shared" si="25"/>
        <v>0</v>
      </c>
      <c r="D518" s="4">
        <f t="shared" si="26"/>
        <v>0</v>
      </c>
    </row>
    <row r="519" spans="2:4" x14ac:dyDescent="0.25">
      <c r="B519" s="71">
        <f t="shared" si="27"/>
        <v>22.700000000000188</v>
      </c>
      <c r="C519" s="4">
        <f t="shared" si="25"/>
        <v>0</v>
      </c>
      <c r="D519" s="4">
        <f t="shared" si="26"/>
        <v>0</v>
      </c>
    </row>
    <row r="520" spans="2:4" x14ac:dyDescent="0.25">
      <c r="B520" s="71">
        <f t="shared" si="27"/>
        <v>22.750000000000188</v>
      </c>
      <c r="C520" s="4">
        <f t="shared" si="25"/>
        <v>0</v>
      </c>
      <c r="D520" s="4">
        <f t="shared" si="26"/>
        <v>0</v>
      </c>
    </row>
    <row r="521" spans="2:4" x14ac:dyDescent="0.25">
      <c r="B521" s="71">
        <f t="shared" si="27"/>
        <v>22.800000000000189</v>
      </c>
      <c r="C521" s="4">
        <f t="shared" si="25"/>
        <v>0</v>
      </c>
      <c r="D521" s="4">
        <f t="shared" si="26"/>
        <v>0</v>
      </c>
    </row>
    <row r="522" spans="2:4" x14ac:dyDescent="0.25">
      <c r="B522" s="71">
        <f t="shared" si="27"/>
        <v>22.85000000000019</v>
      </c>
      <c r="C522" s="4">
        <f t="shared" si="25"/>
        <v>0</v>
      </c>
      <c r="D522" s="4">
        <f t="shared" si="26"/>
        <v>0</v>
      </c>
    </row>
    <row r="523" spans="2:4" x14ac:dyDescent="0.25">
      <c r="B523" s="71">
        <f t="shared" si="27"/>
        <v>22.90000000000019</v>
      </c>
      <c r="C523" s="4">
        <f t="shared" si="25"/>
        <v>0</v>
      </c>
      <c r="D523" s="4">
        <f t="shared" si="26"/>
        <v>0</v>
      </c>
    </row>
    <row r="524" spans="2:4" x14ac:dyDescent="0.25">
      <c r="B524" s="71">
        <f t="shared" si="27"/>
        <v>22.950000000000191</v>
      </c>
      <c r="C524" s="4">
        <f t="shared" si="25"/>
        <v>0</v>
      </c>
      <c r="D524" s="4">
        <f t="shared" si="26"/>
        <v>0</v>
      </c>
    </row>
    <row r="525" spans="2:4" x14ac:dyDescent="0.25">
      <c r="B525" s="71">
        <f t="shared" si="27"/>
        <v>23.000000000000192</v>
      </c>
      <c r="C525" s="4">
        <f t="shared" si="25"/>
        <v>0</v>
      </c>
      <c r="D525" s="4">
        <f t="shared" si="26"/>
        <v>0</v>
      </c>
    </row>
    <row r="526" spans="2:4" x14ac:dyDescent="0.25">
      <c r="B526" s="71">
        <f t="shared" si="27"/>
        <v>23.050000000000193</v>
      </c>
      <c r="C526" s="4">
        <f t="shared" si="25"/>
        <v>0</v>
      </c>
      <c r="D526" s="4">
        <f t="shared" si="26"/>
        <v>0</v>
      </c>
    </row>
    <row r="527" spans="2:4" x14ac:dyDescent="0.25">
      <c r="B527" s="71">
        <f t="shared" si="27"/>
        <v>23.100000000000193</v>
      </c>
      <c r="C527" s="4">
        <f t="shared" si="25"/>
        <v>0</v>
      </c>
      <c r="D527" s="4">
        <f t="shared" si="26"/>
        <v>0</v>
      </c>
    </row>
    <row r="528" spans="2:4" x14ac:dyDescent="0.25">
      <c r="B528" s="71">
        <f t="shared" si="27"/>
        <v>23.150000000000194</v>
      </c>
      <c r="C528" s="4">
        <f t="shared" si="25"/>
        <v>0</v>
      </c>
      <c r="D528" s="4">
        <f t="shared" si="26"/>
        <v>0</v>
      </c>
    </row>
    <row r="529" spans="2:4" x14ac:dyDescent="0.25">
      <c r="B529" s="71">
        <f t="shared" si="27"/>
        <v>23.200000000000195</v>
      </c>
      <c r="C529" s="4">
        <f t="shared" si="25"/>
        <v>0</v>
      </c>
      <c r="D529" s="4">
        <f t="shared" si="26"/>
        <v>0</v>
      </c>
    </row>
    <row r="530" spans="2:4" x14ac:dyDescent="0.25">
      <c r="B530" s="71">
        <f t="shared" si="27"/>
        <v>23.250000000000195</v>
      </c>
      <c r="C530" s="4">
        <f t="shared" si="25"/>
        <v>0</v>
      </c>
      <c r="D530" s="4">
        <f t="shared" si="26"/>
        <v>0</v>
      </c>
    </row>
    <row r="531" spans="2:4" x14ac:dyDescent="0.25">
      <c r="B531" s="71">
        <f t="shared" si="27"/>
        <v>23.300000000000196</v>
      </c>
      <c r="C531" s="4">
        <f t="shared" si="25"/>
        <v>0</v>
      </c>
      <c r="D531" s="4">
        <f t="shared" si="26"/>
        <v>0</v>
      </c>
    </row>
    <row r="532" spans="2:4" x14ac:dyDescent="0.25">
      <c r="B532" s="71">
        <f t="shared" si="27"/>
        <v>23.350000000000197</v>
      </c>
      <c r="C532" s="4">
        <f t="shared" si="25"/>
        <v>0</v>
      </c>
      <c r="D532" s="4">
        <f t="shared" si="26"/>
        <v>0</v>
      </c>
    </row>
    <row r="533" spans="2:4" x14ac:dyDescent="0.25">
      <c r="B533" s="71">
        <f t="shared" si="27"/>
        <v>23.400000000000198</v>
      </c>
      <c r="C533" s="4">
        <f t="shared" si="25"/>
        <v>0</v>
      </c>
      <c r="D533" s="4">
        <f t="shared" si="26"/>
        <v>0</v>
      </c>
    </row>
    <row r="534" spans="2:4" x14ac:dyDescent="0.25">
      <c r="B534" s="71">
        <f t="shared" si="27"/>
        <v>23.450000000000198</v>
      </c>
      <c r="C534" s="4">
        <f t="shared" si="25"/>
        <v>0</v>
      </c>
      <c r="D534" s="4">
        <f t="shared" si="26"/>
        <v>0</v>
      </c>
    </row>
    <row r="535" spans="2:4" x14ac:dyDescent="0.25">
      <c r="B535" s="71">
        <f t="shared" si="27"/>
        <v>23.500000000000199</v>
      </c>
      <c r="C535" s="4">
        <f t="shared" si="25"/>
        <v>0</v>
      </c>
      <c r="D535" s="4">
        <f t="shared" si="26"/>
        <v>0</v>
      </c>
    </row>
    <row r="536" spans="2:4" x14ac:dyDescent="0.25">
      <c r="B536" s="71">
        <f t="shared" si="27"/>
        <v>23.5500000000002</v>
      </c>
      <c r="C536" s="4">
        <f t="shared" si="25"/>
        <v>0</v>
      </c>
      <c r="D536" s="4">
        <f t="shared" si="26"/>
        <v>0</v>
      </c>
    </row>
  </sheetData>
  <mergeCells count="5">
    <mergeCell ref="C2:D2"/>
    <mergeCell ref="E2:F2"/>
    <mergeCell ref="B19:C19"/>
    <mergeCell ref="D19:E19"/>
    <mergeCell ref="F19:G19"/>
  </mergeCells>
  <conditionalFormatting sqref="C65:D53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{9AF440C2-9772-4D42-9CA1-6BBED35F35C8}</x14:id>
        </ext>
      </extLst>
    </cfRule>
  </conditionalFormatting>
  <conditionalFormatting sqref="E4:F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D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Scroll Bar 1">
              <controlPr defaultSize="0" autoPict="0">
                <anchor moveWithCells="1">
                  <from>
                    <xdr:col>3</xdr:col>
                    <xdr:colOff>200025</xdr:colOff>
                    <xdr:row>21</xdr:row>
                    <xdr:rowOff>133350</xdr:rowOff>
                  </from>
                  <to>
                    <xdr:col>3</xdr:col>
                    <xdr:colOff>619125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Scroll Bar 2">
              <controlPr defaultSize="0" autoPict="0">
                <anchor moveWithCells="1">
                  <from>
                    <xdr:col>4</xdr:col>
                    <xdr:colOff>266700</xdr:colOff>
                    <xdr:row>21</xdr:row>
                    <xdr:rowOff>114300</xdr:rowOff>
                  </from>
                  <to>
                    <xdr:col>4</xdr:col>
                    <xdr:colOff>685800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Scroll Bar 3">
              <controlPr defaultSize="0" autoPict="0">
                <anchor moveWithCells="1">
                  <from>
                    <xdr:col>5</xdr:col>
                    <xdr:colOff>314325</xdr:colOff>
                    <xdr:row>21</xdr:row>
                    <xdr:rowOff>114300</xdr:rowOff>
                  </from>
                  <to>
                    <xdr:col>5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Scroll Bar 4">
              <controlPr defaultSize="0" autoPict="0">
                <anchor moveWithCells="1">
                  <from>
                    <xdr:col>6</xdr:col>
                    <xdr:colOff>123825</xdr:colOff>
                    <xdr:row>21</xdr:row>
                    <xdr:rowOff>114300</xdr:rowOff>
                  </from>
                  <to>
                    <xdr:col>6</xdr:col>
                    <xdr:colOff>542925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Scroll Bar 5">
              <controlPr defaultSize="0" autoPict="0">
                <anchor moveWithCells="1">
                  <from>
                    <xdr:col>1</xdr:col>
                    <xdr:colOff>514350</xdr:colOff>
                    <xdr:row>21</xdr:row>
                    <xdr:rowOff>95250</xdr:rowOff>
                  </from>
                  <to>
                    <xdr:col>2</xdr:col>
                    <xdr:colOff>114300</xdr:colOff>
                    <xdr:row>35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F440C2-9772-4D42-9CA1-6BBED35F35C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C65:D536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S536"/>
  <sheetViews>
    <sheetView showGridLines="0" zoomScale="70" zoomScaleNormal="70" workbookViewId="0">
      <selection activeCell="E6" sqref="E6:F8"/>
    </sheetView>
  </sheetViews>
  <sheetFormatPr defaultRowHeight="15" x14ac:dyDescent="0.25"/>
  <cols>
    <col min="1" max="1" width="34" customWidth="1"/>
    <col min="2" max="3" width="12.85546875" customWidth="1"/>
    <col min="4" max="4" width="20.85546875" bestFit="1" customWidth="1"/>
    <col min="5" max="5" width="19" customWidth="1"/>
    <col min="6" max="6" width="28.140625" customWidth="1"/>
    <col min="7" max="7" width="26.28515625" customWidth="1"/>
    <col min="8" max="11" width="19" customWidth="1"/>
    <col min="12" max="12" width="4.5703125" customWidth="1"/>
    <col min="13" max="13" width="19.85546875" customWidth="1"/>
    <col min="14" max="14" width="12.42578125" customWidth="1"/>
    <col min="15" max="16" width="24.42578125" customWidth="1"/>
    <col min="17" max="19" width="18" customWidth="1"/>
    <col min="20" max="20" width="47" customWidth="1"/>
    <col min="22" max="23" width="16.7109375" customWidth="1"/>
    <col min="24" max="25" width="20.7109375" customWidth="1"/>
    <col min="26" max="29" width="16.7109375" customWidth="1"/>
    <col min="31" max="32" width="15.28515625" customWidth="1"/>
    <col min="33" max="34" width="22.7109375" customWidth="1"/>
    <col min="35" max="38" width="15.28515625" customWidth="1"/>
    <col min="40" max="41" width="15.5703125" customWidth="1"/>
    <col min="42" max="43" width="23.42578125" customWidth="1"/>
    <col min="44" max="47" width="15.5703125" customWidth="1"/>
    <col min="49" max="50" width="12.7109375" customWidth="1"/>
    <col min="51" max="52" width="23.140625" customWidth="1"/>
    <col min="53" max="56" width="12.7109375" customWidth="1"/>
    <col min="58" max="59" width="14.140625" customWidth="1"/>
    <col min="60" max="61" width="22.5703125" customWidth="1"/>
    <col min="62" max="65" width="14.140625" customWidth="1"/>
    <col min="67" max="68" width="13" customWidth="1"/>
    <col min="69" max="70" width="22" customWidth="1"/>
    <col min="71" max="74" width="13" customWidth="1"/>
    <col min="76" max="180" width="21.7109375" customWidth="1"/>
  </cols>
  <sheetData>
    <row r="1" spans="2:123" ht="15.75" thickBot="1" x14ac:dyDescent="0.3"/>
    <row r="2" spans="2:123" ht="26.25" x14ac:dyDescent="0.4">
      <c r="D2" s="186" t="s">
        <v>53</v>
      </c>
      <c r="E2" s="187"/>
      <c r="F2" s="188"/>
      <c r="M2" s="183" t="s">
        <v>51</v>
      </c>
      <c r="N2" s="184"/>
      <c r="O2" s="185"/>
    </row>
    <row r="3" spans="2:123" ht="19.899999999999999" customHeight="1" x14ac:dyDescent="0.3">
      <c r="D3" s="159" t="s">
        <v>57</v>
      </c>
      <c r="E3" s="127" t="s">
        <v>19</v>
      </c>
      <c r="F3" s="132" t="s">
        <v>20</v>
      </c>
      <c r="M3" s="131"/>
      <c r="N3" s="127" t="s">
        <v>19</v>
      </c>
      <c r="O3" s="132" t="s">
        <v>20</v>
      </c>
      <c r="W3" s="59" t="s">
        <v>19</v>
      </c>
      <c r="X3" s="59" t="s">
        <v>20</v>
      </c>
      <c r="AF3" s="59" t="s">
        <v>19</v>
      </c>
      <c r="AG3" s="59" t="s">
        <v>20</v>
      </c>
      <c r="AO3" s="59" t="s">
        <v>19</v>
      </c>
      <c r="AP3" s="59" t="s">
        <v>20</v>
      </c>
      <c r="AX3" s="59" t="s">
        <v>19</v>
      </c>
      <c r="AY3" s="59" t="s">
        <v>20</v>
      </c>
      <c r="BG3" s="59" t="s">
        <v>19</v>
      </c>
      <c r="BH3" s="59" t="s">
        <v>20</v>
      </c>
      <c r="BP3" s="59" t="s">
        <v>19</v>
      </c>
      <c r="BQ3" s="59" t="s">
        <v>20</v>
      </c>
      <c r="BY3" s="59" t="s">
        <v>19</v>
      </c>
      <c r="BZ3" s="59" t="s">
        <v>20</v>
      </c>
      <c r="CH3" s="59" t="s">
        <v>19</v>
      </c>
      <c r="CI3" s="59" t="s">
        <v>20</v>
      </c>
      <c r="CQ3" s="59" t="s">
        <v>19</v>
      </c>
      <c r="CR3" s="59" t="s">
        <v>20</v>
      </c>
      <c r="CZ3" s="59" t="s">
        <v>19</v>
      </c>
      <c r="DA3" s="59" t="s">
        <v>20</v>
      </c>
      <c r="DI3" s="59" t="s">
        <v>19</v>
      </c>
      <c r="DJ3" s="59" t="s">
        <v>20</v>
      </c>
      <c r="DR3" s="59" t="s">
        <v>19</v>
      </c>
      <c r="DS3" s="59" t="s">
        <v>20</v>
      </c>
    </row>
    <row r="4" spans="2:123" ht="19.899999999999999" customHeight="1" x14ac:dyDescent="0.35">
      <c r="D4" s="142" t="s">
        <v>6</v>
      </c>
      <c r="E4" s="145">
        <v>1</v>
      </c>
      <c r="F4" s="146"/>
      <c r="G4" s="157"/>
      <c r="M4" s="133" t="s">
        <v>6</v>
      </c>
      <c r="N4" s="3" t="s">
        <v>52</v>
      </c>
      <c r="O4" s="134"/>
      <c r="V4" s="9" t="s">
        <v>6</v>
      </c>
      <c r="W4" s="1">
        <v>1</v>
      </c>
      <c r="AE4" s="9" t="s">
        <v>6</v>
      </c>
      <c r="AF4" s="1">
        <v>1</v>
      </c>
      <c r="AN4" s="9" t="s">
        <v>6</v>
      </c>
      <c r="AO4" s="1">
        <v>1</v>
      </c>
      <c r="AW4" s="9" t="s">
        <v>6</v>
      </c>
      <c r="AX4" s="1">
        <v>1</v>
      </c>
      <c r="BF4" s="9" t="s">
        <v>6</v>
      </c>
      <c r="BG4" s="1">
        <v>1</v>
      </c>
      <c r="BO4" s="9" t="s">
        <v>6</v>
      </c>
      <c r="BP4" s="1">
        <v>1</v>
      </c>
      <c r="BX4" s="9" t="s">
        <v>6</v>
      </c>
      <c r="BY4" s="1">
        <v>1</v>
      </c>
      <c r="CG4" s="9" t="s">
        <v>6</v>
      </c>
      <c r="CH4" s="1">
        <v>1</v>
      </c>
      <c r="CP4" s="9" t="s">
        <v>6</v>
      </c>
      <c r="CQ4" s="1">
        <v>1</v>
      </c>
      <c r="CY4" s="9" t="s">
        <v>6</v>
      </c>
      <c r="CZ4" s="1">
        <v>1</v>
      </c>
      <c r="DH4" s="9" t="s">
        <v>6</v>
      </c>
      <c r="DI4" s="1">
        <v>1</v>
      </c>
      <c r="DQ4" s="9" t="s">
        <v>6</v>
      </c>
      <c r="DR4" s="1">
        <v>1</v>
      </c>
    </row>
    <row r="5" spans="2:123" ht="19.899999999999999" customHeight="1" x14ac:dyDescent="0.25">
      <c r="D5" s="143" t="s">
        <v>2</v>
      </c>
      <c r="E5" s="147">
        <v>1</v>
      </c>
      <c r="F5" s="148">
        <v>2</v>
      </c>
      <c r="M5" s="135" t="s">
        <v>2</v>
      </c>
      <c r="N5" s="128">
        <v>1</v>
      </c>
      <c r="O5" s="136">
        <v>2</v>
      </c>
      <c r="V5" s="10" t="s">
        <v>2</v>
      </c>
      <c r="W5" s="11">
        <v>1</v>
      </c>
      <c r="X5" s="11">
        <v>2</v>
      </c>
      <c r="AE5" s="10" t="s">
        <v>2</v>
      </c>
      <c r="AF5" s="11">
        <v>1</v>
      </c>
      <c r="AG5" s="11">
        <v>2</v>
      </c>
      <c r="AN5" s="10" t="s">
        <v>2</v>
      </c>
      <c r="AO5" s="11">
        <v>1</v>
      </c>
      <c r="AP5" s="11">
        <v>2</v>
      </c>
      <c r="AW5" s="10" t="s">
        <v>2</v>
      </c>
      <c r="AX5" s="11">
        <v>1</v>
      </c>
      <c r="AY5" s="11">
        <v>2</v>
      </c>
      <c r="BF5" s="10" t="s">
        <v>2</v>
      </c>
      <c r="BG5" s="11">
        <v>1</v>
      </c>
      <c r="BH5" s="11">
        <v>2</v>
      </c>
      <c r="BO5" s="10" t="s">
        <v>2</v>
      </c>
      <c r="BP5" s="11">
        <v>1</v>
      </c>
      <c r="BQ5" s="11">
        <v>2</v>
      </c>
      <c r="BX5" s="10" t="s">
        <v>2</v>
      </c>
      <c r="BY5" s="11">
        <v>1</v>
      </c>
      <c r="BZ5" s="11">
        <v>2</v>
      </c>
      <c r="CG5" s="10" t="s">
        <v>2</v>
      </c>
      <c r="CH5" s="11">
        <v>1</v>
      </c>
      <c r="CI5" s="11">
        <v>2</v>
      </c>
      <c r="CP5" s="10" t="s">
        <v>2</v>
      </c>
      <c r="CQ5" s="11">
        <v>1</v>
      </c>
      <c r="CR5" s="11">
        <v>2</v>
      </c>
      <c r="CY5" s="10" t="s">
        <v>2</v>
      </c>
      <c r="CZ5" s="11">
        <v>1</v>
      </c>
      <c r="DA5" s="11">
        <v>2</v>
      </c>
      <c r="DH5" s="10" t="s">
        <v>2</v>
      </c>
      <c r="DI5" s="11">
        <v>1</v>
      </c>
      <c r="DJ5" s="11">
        <v>2</v>
      </c>
      <c r="DQ5" s="10" t="s">
        <v>2</v>
      </c>
      <c r="DR5" s="11">
        <v>1</v>
      </c>
      <c r="DS5" s="11">
        <v>2</v>
      </c>
    </row>
    <row r="6" spans="2:123" ht="19.899999999999999" customHeight="1" x14ac:dyDescent="0.25">
      <c r="D6" s="143" t="s">
        <v>1</v>
      </c>
      <c r="E6" s="149">
        <v>0.30769165210474347</v>
      </c>
      <c r="F6" s="150">
        <v>0.69230834789525653</v>
      </c>
      <c r="M6" s="135" t="s">
        <v>1</v>
      </c>
      <c r="N6" s="129">
        <f>AVERAGE(F15:F27)</f>
        <v>0.30769165210474347</v>
      </c>
      <c r="O6" s="137">
        <f>1-N6</f>
        <v>0.69230834789525653</v>
      </c>
      <c r="V6" s="10" t="s">
        <v>1</v>
      </c>
      <c r="W6" s="51" t="e">
        <f>AVERAGE(O15:O27)</f>
        <v>#DIV/0!</v>
      </c>
      <c r="X6" s="51" t="e">
        <f>1-W6</f>
        <v>#DIV/0!</v>
      </c>
      <c r="AE6" s="10" t="s">
        <v>1</v>
      </c>
      <c r="AF6" s="51" t="e">
        <f>AVERAGE(X15:X27)</f>
        <v>#DIV/0!</v>
      </c>
      <c r="AG6" s="51" t="e">
        <f>1-AF6</f>
        <v>#DIV/0!</v>
      </c>
      <c r="AN6" s="10" t="s">
        <v>1</v>
      </c>
      <c r="AO6" s="51" t="e">
        <f>AVERAGE(AG15:AG27)</f>
        <v>#DIV/0!</v>
      </c>
      <c r="AP6" s="51" t="e">
        <f>1-AO6</f>
        <v>#DIV/0!</v>
      </c>
      <c r="AW6" s="10" t="s">
        <v>1</v>
      </c>
      <c r="AX6" s="51" t="e">
        <f>AVERAGE(AP15:AP27)</f>
        <v>#DIV/0!</v>
      </c>
      <c r="AY6" s="51" t="e">
        <f>1-AX6</f>
        <v>#DIV/0!</v>
      </c>
      <c r="BF6" s="10" t="s">
        <v>1</v>
      </c>
      <c r="BG6" s="51" t="e">
        <f>AVERAGE(AY15:AY27)</f>
        <v>#DIV/0!</v>
      </c>
      <c r="BH6" s="51" t="e">
        <f>1-BG6</f>
        <v>#DIV/0!</v>
      </c>
      <c r="BO6" s="10" t="s">
        <v>1</v>
      </c>
      <c r="BP6" s="51" t="e">
        <f>AVERAGE(BH15:BH27)</f>
        <v>#DIV/0!</v>
      </c>
      <c r="BQ6" s="51" t="e">
        <f>1-BP6</f>
        <v>#DIV/0!</v>
      </c>
      <c r="BX6" s="10" t="s">
        <v>1</v>
      </c>
      <c r="BY6" s="51" t="e">
        <f>AVERAGE(BQ15:BQ27)</f>
        <v>#DIV/0!</v>
      </c>
      <c r="BZ6" s="51" t="e">
        <f>1-BY6</f>
        <v>#DIV/0!</v>
      </c>
      <c r="CG6" s="10" t="s">
        <v>1</v>
      </c>
      <c r="CH6" s="51" t="e">
        <f>AVERAGE(BZ15:BZ27)</f>
        <v>#DIV/0!</v>
      </c>
      <c r="CI6" s="51" t="e">
        <f>1-CH6</f>
        <v>#DIV/0!</v>
      </c>
      <c r="CP6" s="10" t="s">
        <v>1</v>
      </c>
      <c r="CQ6" s="51" t="e">
        <f>AVERAGE(CI15:CI27)</f>
        <v>#DIV/0!</v>
      </c>
      <c r="CR6" s="51" t="e">
        <f>1-CQ6</f>
        <v>#DIV/0!</v>
      </c>
      <c r="CY6" s="10" t="s">
        <v>1</v>
      </c>
      <c r="CZ6" s="51" t="e">
        <f>AVERAGE(CR15:CR27)</f>
        <v>#DIV/0!</v>
      </c>
      <c r="DA6" s="51" t="e">
        <f>1-CZ6</f>
        <v>#DIV/0!</v>
      </c>
      <c r="DH6" s="10" t="s">
        <v>1</v>
      </c>
      <c r="DI6" s="51" t="e">
        <f>AVERAGE(DA15:DA27)</f>
        <v>#DIV/0!</v>
      </c>
      <c r="DJ6" s="51" t="e">
        <f>1-DI6</f>
        <v>#DIV/0!</v>
      </c>
      <c r="DQ6" s="10" t="s">
        <v>1</v>
      </c>
      <c r="DR6" s="51" t="e">
        <f>AVERAGE(DJ15:DJ27)</f>
        <v>#DIV/0!</v>
      </c>
      <c r="DS6" s="51" t="e">
        <f>1-DR6</f>
        <v>#DIV/0!</v>
      </c>
    </row>
    <row r="7" spans="2:123" ht="19.899999999999999" customHeight="1" x14ac:dyDescent="0.4">
      <c r="D7" s="143" t="s">
        <v>3</v>
      </c>
      <c r="E7" s="149">
        <v>3.9999937187697543</v>
      </c>
      <c r="F7" s="150">
        <v>18.388878054851524</v>
      </c>
      <c r="G7" s="158" t="s">
        <v>55</v>
      </c>
      <c r="M7" s="135" t="s">
        <v>3</v>
      </c>
      <c r="N7" s="130">
        <f>sum_bi_xi/sum_Bi</f>
        <v>3.9999937187697543</v>
      </c>
      <c r="O7" s="138">
        <f>sum_ai_xi/sum_ai</f>
        <v>18.388878054851524</v>
      </c>
      <c r="V7" s="10" t="s">
        <v>3</v>
      </c>
      <c r="W7" s="43" t="e">
        <f>Q30/O30</f>
        <v>#DIV/0!</v>
      </c>
      <c r="X7" s="43" t="e">
        <f>R30/P30</f>
        <v>#DIV/0!</v>
      </c>
      <c r="AE7" s="10" t="s">
        <v>3</v>
      </c>
      <c r="AF7" s="43" t="e">
        <f>Z30/X30</f>
        <v>#DIV/0!</v>
      </c>
      <c r="AG7" s="43" t="e">
        <f>AA30/Y30</f>
        <v>#DIV/0!</v>
      </c>
      <c r="AN7" s="10" t="s">
        <v>3</v>
      </c>
      <c r="AO7" s="43" t="e">
        <f>AI30/AG30</f>
        <v>#DIV/0!</v>
      </c>
      <c r="AP7" s="43" t="e">
        <f>AJ30/AH30</f>
        <v>#DIV/0!</v>
      </c>
      <c r="AW7" s="10" t="s">
        <v>3</v>
      </c>
      <c r="AX7" s="43" t="e">
        <f>AR30/AP30</f>
        <v>#DIV/0!</v>
      </c>
      <c r="AY7" s="43" t="e">
        <f>AS30/AQ30</f>
        <v>#DIV/0!</v>
      </c>
      <c r="BF7" s="10" t="s">
        <v>3</v>
      </c>
      <c r="BG7" s="43" t="e">
        <f>BA30/AY30</f>
        <v>#DIV/0!</v>
      </c>
      <c r="BH7" s="43" t="e">
        <f>BB30/AZ30</f>
        <v>#DIV/0!</v>
      </c>
      <c r="BO7" s="10" t="s">
        <v>3</v>
      </c>
      <c r="BP7" s="43" t="e">
        <f>BJ30/BH30</f>
        <v>#DIV/0!</v>
      </c>
      <c r="BQ7" s="43" t="e">
        <f>BK30/BI30</f>
        <v>#DIV/0!</v>
      </c>
      <c r="BX7" s="10" t="s">
        <v>3</v>
      </c>
      <c r="BY7" s="43" t="e">
        <f>BS30/BQ30</f>
        <v>#DIV/0!</v>
      </c>
      <c r="BZ7" s="43" t="e">
        <f>BT30/BR30</f>
        <v>#DIV/0!</v>
      </c>
      <c r="CG7" s="10" t="s">
        <v>3</v>
      </c>
      <c r="CH7" s="43" t="e">
        <f>CB30/BZ30</f>
        <v>#DIV/0!</v>
      </c>
      <c r="CI7" s="43" t="e">
        <f>CC30/CA30</f>
        <v>#DIV/0!</v>
      </c>
      <c r="CP7" s="10" t="s">
        <v>3</v>
      </c>
      <c r="CQ7" s="43" t="e">
        <f>CK30/CI30</f>
        <v>#DIV/0!</v>
      </c>
      <c r="CR7" s="43" t="e">
        <f>CL30/CJ30</f>
        <v>#DIV/0!</v>
      </c>
      <c r="CY7" s="10" t="s">
        <v>3</v>
      </c>
      <c r="CZ7" s="43" t="e">
        <f>CT30/CR30</f>
        <v>#DIV/0!</v>
      </c>
      <c r="DA7" s="43" t="e">
        <f>CU30/CS30</f>
        <v>#DIV/0!</v>
      </c>
      <c r="DH7" s="10" t="s">
        <v>3</v>
      </c>
      <c r="DI7" s="43" t="e">
        <f>DC30/DA30</f>
        <v>#DIV/0!</v>
      </c>
      <c r="DJ7" s="43" t="e">
        <f>DD30/DB30</f>
        <v>#DIV/0!</v>
      </c>
      <c r="DQ7" s="10" t="s">
        <v>3</v>
      </c>
      <c r="DR7" s="43" t="e">
        <f>DL30/DJ30</f>
        <v>#DIV/0!</v>
      </c>
      <c r="DS7" s="43" t="e">
        <f>DM30/DK30</f>
        <v>#DIV/0!</v>
      </c>
    </row>
    <row r="8" spans="2:123" ht="27.75" customHeight="1" x14ac:dyDescent="0.4">
      <c r="D8" s="143" t="s">
        <v>4</v>
      </c>
      <c r="E8" s="149">
        <v>3.4999898282538005</v>
      </c>
      <c r="F8" s="150">
        <v>4.7655511421087757</v>
      </c>
      <c r="G8" s="158" t="s">
        <v>56</v>
      </c>
      <c r="M8" s="135" t="s">
        <v>4</v>
      </c>
      <c r="N8" s="130">
        <f>J30/F30</f>
        <v>3.4999898282538005</v>
      </c>
      <c r="O8" s="138">
        <f>K30/G30</f>
        <v>4.7655511421087757</v>
      </c>
      <c r="V8" s="10" t="s">
        <v>4</v>
      </c>
      <c r="W8" s="43" t="e">
        <f>S30/O30</f>
        <v>#DIV/0!</v>
      </c>
      <c r="X8" s="43" t="e">
        <f>T30/P30</f>
        <v>#DIV/0!</v>
      </c>
      <c r="AE8" s="10" t="s">
        <v>4</v>
      </c>
      <c r="AF8" s="43" t="e">
        <f>AB30/X30</f>
        <v>#DIV/0!</v>
      </c>
      <c r="AG8" s="43" t="e">
        <f>AC30/Y30</f>
        <v>#DIV/0!</v>
      </c>
      <c r="AN8" s="10" t="s">
        <v>4</v>
      </c>
      <c r="AO8" s="43" t="e">
        <f>AK30/AG30</f>
        <v>#DIV/0!</v>
      </c>
      <c r="AP8" s="43" t="e">
        <f>AL30/AH30</f>
        <v>#DIV/0!</v>
      </c>
      <c r="AW8" s="10" t="s">
        <v>4</v>
      </c>
      <c r="AX8" s="43" t="e">
        <f>AT30/AP30</f>
        <v>#DIV/0!</v>
      </c>
      <c r="AY8" s="43" t="e">
        <f>AU30/AQ30</f>
        <v>#DIV/0!</v>
      </c>
      <c r="BF8" s="10" t="s">
        <v>4</v>
      </c>
      <c r="BG8" s="43" t="e">
        <f>BC30/AY30</f>
        <v>#DIV/0!</v>
      </c>
      <c r="BH8" s="43" t="e">
        <f>BD30/AZ30</f>
        <v>#DIV/0!</v>
      </c>
      <c r="BO8" s="10" t="s">
        <v>4</v>
      </c>
      <c r="BP8" s="43" t="e">
        <f>BL30/BH30</f>
        <v>#DIV/0!</v>
      </c>
      <c r="BQ8" s="43" t="e">
        <f>BM30/BI30</f>
        <v>#DIV/0!</v>
      </c>
      <c r="BX8" s="10" t="s">
        <v>4</v>
      </c>
      <c r="BY8" s="43" t="e">
        <f>BU30/BQ30</f>
        <v>#DIV/0!</v>
      </c>
      <c r="BZ8" s="43" t="e">
        <f>BV30/BR30</f>
        <v>#DIV/0!</v>
      </c>
      <c r="CG8" s="10" t="s">
        <v>4</v>
      </c>
      <c r="CH8" s="43" t="e">
        <f>CD30/BZ30</f>
        <v>#DIV/0!</v>
      </c>
      <c r="CI8" s="43" t="e">
        <f>CE30/CA30</f>
        <v>#DIV/0!</v>
      </c>
      <c r="CP8" s="10" t="s">
        <v>4</v>
      </c>
      <c r="CQ8" s="43" t="e">
        <f>CM30/CI30</f>
        <v>#DIV/0!</v>
      </c>
      <c r="CR8" s="43" t="e">
        <f>CN30/CJ30</f>
        <v>#DIV/0!</v>
      </c>
      <c r="CY8" s="10" t="s">
        <v>4</v>
      </c>
      <c r="CZ8" s="43" t="e">
        <f>CV30/CR30</f>
        <v>#DIV/0!</v>
      </c>
      <c r="DA8" s="43" t="e">
        <f>CW30/CS30</f>
        <v>#DIV/0!</v>
      </c>
      <c r="DH8" s="10" t="s">
        <v>4</v>
      </c>
      <c r="DI8" s="43" t="e">
        <f>DE30/DA30</f>
        <v>#DIV/0!</v>
      </c>
      <c r="DJ8" s="43" t="e">
        <f>DF30/DB30</f>
        <v>#DIV/0!</v>
      </c>
      <c r="DQ8" s="10" t="s">
        <v>4</v>
      </c>
      <c r="DR8" s="43" t="e">
        <f>DN30/DJ30</f>
        <v>#DIV/0!</v>
      </c>
      <c r="DS8" s="43" t="e">
        <f>DO30/DK30</f>
        <v>#DIV/0!</v>
      </c>
    </row>
    <row r="9" spans="2:123" ht="24.75" customHeight="1" thickBot="1" x14ac:dyDescent="0.3">
      <c r="D9" s="143" t="s">
        <v>18</v>
      </c>
      <c r="E9" s="151">
        <f>1/SQRT(2*PI()*E8)</f>
        <v>0.21324392848930809</v>
      </c>
      <c r="F9" s="152">
        <f>1/SQRT(2*PI()*F8)</f>
        <v>0.18274836432325645</v>
      </c>
      <c r="M9" s="139" t="s">
        <v>18</v>
      </c>
      <c r="N9" s="140">
        <f>1/SQRT(2*PI()*N8)</f>
        <v>0.21324392848930809</v>
      </c>
      <c r="O9" s="141">
        <f>1/SQRT(2*PI()*O8)</f>
        <v>0.18274836432325645</v>
      </c>
      <c r="V9" s="10" t="s">
        <v>18</v>
      </c>
      <c r="W9" s="33" t="e">
        <f>1/SQRT(2*PI()*W8)</f>
        <v>#DIV/0!</v>
      </c>
      <c r="X9" s="33" t="e">
        <f>1/SQRT(2*PI()*X8)</f>
        <v>#DIV/0!</v>
      </c>
      <c r="AE9" s="10" t="s">
        <v>18</v>
      </c>
      <c r="AF9" s="33" t="e">
        <f>1/SQRT(2*PI()*AF8)</f>
        <v>#DIV/0!</v>
      </c>
      <c r="AG9" s="33" t="e">
        <f>1/SQRT(2*PI()*AG8)</f>
        <v>#DIV/0!</v>
      </c>
      <c r="AN9" s="10" t="s">
        <v>18</v>
      </c>
      <c r="AO9" s="33" t="e">
        <f>1/SQRT(2*PI()*AO8)</f>
        <v>#DIV/0!</v>
      </c>
      <c r="AP9" s="33" t="e">
        <f>1/SQRT(2*PI()*AP8)</f>
        <v>#DIV/0!</v>
      </c>
      <c r="AW9" s="10" t="s">
        <v>18</v>
      </c>
      <c r="AX9" s="33" t="e">
        <f>1/SQRT(2*PI()*AX8)</f>
        <v>#DIV/0!</v>
      </c>
      <c r="AY9" s="33" t="e">
        <f>1/SQRT(2*PI()*AY8)</f>
        <v>#DIV/0!</v>
      </c>
      <c r="BF9" s="10" t="s">
        <v>18</v>
      </c>
      <c r="BG9" s="33" t="e">
        <f>1/SQRT(2*PI()*BG8)</f>
        <v>#DIV/0!</v>
      </c>
      <c r="BH9" s="33" t="e">
        <f>1/SQRT(2*PI()*BH8)</f>
        <v>#DIV/0!</v>
      </c>
      <c r="BO9" s="10" t="s">
        <v>18</v>
      </c>
      <c r="BP9" s="33" t="e">
        <f>1/SQRT(2*PI()*BP8)</f>
        <v>#DIV/0!</v>
      </c>
      <c r="BQ9" s="33" t="e">
        <f>1/SQRT(2*PI()*BQ8)</f>
        <v>#DIV/0!</v>
      </c>
      <c r="BX9" s="10" t="s">
        <v>18</v>
      </c>
      <c r="BY9" s="33" t="e">
        <f>1/SQRT(2*PI()*BY8)</f>
        <v>#DIV/0!</v>
      </c>
      <c r="BZ9" s="33" t="e">
        <f>1/SQRT(2*PI()*BZ8)</f>
        <v>#DIV/0!</v>
      </c>
      <c r="CG9" s="10" t="s">
        <v>18</v>
      </c>
      <c r="CH9" s="33" t="e">
        <f>1/SQRT(2*PI()*CH8)</f>
        <v>#DIV/0!</v>
      </c>
      <c r="CI9" s="33" t="e">
        <f>1/SQRT(2*PI()*CI8)</f>
        <v>#DIV/0!</v>
      </c>
      <c r="CP9" s="10" t="s">
        <v>18</v>
      </c>
      <c r="CQ9" s="33" t="e">
        <f>1/SQRT(2*PI()*CQ8)</f>
        <v>#DIV/0!</v>
      </c>
      <c r="CR9" s="33" t="e">
        <f>1/SQRT(2*PI()*CR8)</f>
        <v>#DIV/0!</v>
      </c>
      <c r="CY9" s="10" t="s">
        <v>18</v>
      </c>
      <c r="CZ9" s="33" t="e">
        <f>1/SQRT(2*PI()*CZ8)</f>
        <v>#DIV/0!</v>
      </c>
      <c r="DA9" s="33" t="e">
        <f>1/SQRT(2*PI()*DA8)</f>
        <v>#DIV/0!</v>
      </c>
      <c r="DH9" s="10" t="s">
        <v>18</v>
      </c>
      <c r="DI9" s="33" t="e">
        <f>1/SQRT(2*PI()*DI8)</f>
        <v>#DIV/0!</v>
      </c>
      <c r="DJ9" s="33" t="e">
        <f>1/SQRT(2*PI()*DJ8)</f>
        <v>#DIV/0!</v>
      </c>
      <c r="DQ9" s="10" t="s">
        <v>18</v>
      </c>
      <c r="DR9" s="33" t="e">
        <f>1/SQRT(2*PI()*DR8)</f>
        <v>#DIV/0!</v>
      </c>
      <c r="DS9" s="33" t="e">
        <f>1/SQRT(2*PI()*DS8)</f>
        <v>#DIV/0!</v>
      </c>
    </row>
    <row r="10" spans="2:123" ht="19.899999999999999" customHeight="1" thickBot="1" x14ac:dyDescent="0.3">
      <c r="D10" s="144" t="s">
        <v>30</v>
      </c>
      <c r="E10" s="153">
        <f>SQRT(E8)</f>
        <v>1.8708259748714737</v>
      </c>
      <c r="F10" s="154">
        <f>SQRT(F8)</f>
        <v>2.1830142331438829</v>
      </c>
      <c r="DQ10" s="10" t="s">
        <v>30</v>
      </c>
      <c r="DR10" s="33" t="e">
        <f>SQRT(DR8)</f>
        <v>#DIV/0!</v>
      </c>
      <c r="DS10" s="33" t="e">
        <f>SQRT(DS8)</f>
        <v>#DIV/0!</v>
      </c>
    </row>
    <row r="12" spans="2:123" ht="15.75" thickBot="1" x14ac:dyDescent="0.3"/>
    <row r="13" spans="2:123" ht="24.6" customHeight="1" thickBot="1" x14ac:dyDescent="0.3">
      <c r="F13" s="189" t="s">
        <v>21</v>
      </c>
      <c r="G13" s="190"/>
      <c r="H13" s="190" t="s">
        <v>22</v>
      </c>
      <c r="I13" s="190"/>
      <c r="J13" s="190" t="s">
        <v>23</v>
      </c>
      <c r="K13" s="191"/>
    </row>
    <row r="14" spans="2:123" ht="60.75" customHeight="1" x14ac:dyDescent="0.25">
      <c r="B14" s="59" t="s">
        <v>50</v>
      </c>
      <c r="C14" s="164" t="s">
        <v>5</v>
      </c>
      <c r="D14" s="165" t="s">
        <v>63</v>
      </c>
      <c r="E14" s="166" t="s">
        <v>64</v>
      </c>
      <c r="F14" s="63" t="s">
        <v>58</v>
      </c>
      <c r="G14" s="63" t="s">
        <v>59</v>
      </c>
      <c r="H14" s="162" t="s">
        <v>60</v>
      </c>
      <c r="I14" s="163" t="s">
        <v>61</v>
      </c>
      <c r="J14" s="160" t="s">
        <v>62</v>
      </c>
      <c r="K14" s="161" t="s">
        <v>65</v>
      </c>
    </row>
    <row r="15" spans="2:123" ht="24" customHeight="1" x14ac:dyDescent="0.25">
      <c r="B15" s="1">
        <v>0</v>
      </c>
      <c r="C15" s="155">
        <v>2</v>
      </c>
      <c r="D15" s="52">
        <f t="shared" ref="D15:E27" si="0">E$9*EXP(-(($C15-E$7)^2)/(2 * E$8))</f>
        <v>0.12042294307123157</v>
      </c>
      <c r="E15" s="53">
        <f t="shared" si="0"/>
        <v>1.0544626806351885E-13</v>
      </c>
      <c r="F15" s="39">
        <f>(D15*E$6)/((D15*E$6)+(E15*F$6))</f>
        <v>0.9999999999980298</v>
      </c>
      <c r="G15" s="40">
        <f>1-F15</f>
        <v>1.9702017794998028E-12</v>
      </c>
      <c r="H15" s="36">
        <f>$C15*F15</f>
        <v>1.9999999999960596</v>
      </c>
      <c r="I15" s="40">
        <f>$C15*G15</f>
        <v>3.9404035589996056E-12</v>
      </c>
      <c r="J15" s="44">
        <f>F15*($C15-E$7)^2</f>
        <v>3.9999748751105901</v>
      </c>
      <c r="K15" s="45">
        <f>G15*($C15-F$7)^2</f>
        <v>5.2918698510678924E-10</v>
      </c>
    </row>
    <row r="16" spans="2:123" ht="24" customHeight="1" x14ac:dyDescent="0.25">
      <c r="B16" s="1">
        <v>0</v>
      </c>
      <c r="C16" s="155">
        <v>3</v>
      </c>
      <c r="D16" s="52">
        <f t="shared" si="0"/>
        <v>0.18485670386596206</v>
      </c>
      <c r="E16" s="53">
        <f t="shared" si="0"/>
        <v>2.9581307526504576E-12</v>
      </c>
      <c r="F16" s="39">
        <f t="shared" ref="F16:F27" si="1">(D16*E$6)/((D16*E$6)+(E16*F$6))</f>
        <v>0.99999999996399469</v>
      </c>
      <c r="G16" s="40">
        <f t="shared" ref="G16:G27" si="2">1-F16</f>
        <v>3.6005309844711064E-11</v>
      </c>
      <c r="H16" s="36">
        <f t="shared" ref="H16:I27" si="3">$C16*F16</f>
        <v>2.9999999998919842</v>
      </c>
      <c r="I16" s="40">
        <f t="shared" si="3"/>
        <v>1.0801592953413319E-10</v>
      </c>
      <c r="J16" s="44">
        <f t="shared" ref="J16:K27" si="4">F16*($C16-E$7)^2</f>
        <v>0.9999874375429576</v>
      </c>
      <c r="K16" s="45">
        <f t="shared" si="4"/>
        <v>8.5266899048450711E-9</v>
      </c>
    </row>
    <row r="17" spans="2:11" ht="24" customHeight="1" x14ac:dyDescent="0.25">
      <c r="B17" s="1">
        <v>0</v>
      </c>
      <c r="C17" s="155">
        <v>4</v>
      </c>
      <c r="D17" s="52">
        <f t="shared" si="0"/>
        <v>0.21324392848810619</v>
      </c>
      <c r="E17" s="53">
        <f t="shared" si="0"/>
        <v>6.7277750373781521E-11</v>
      </c>
      <c r="F17" s="39">
        <f t="shared" si="1"/>
        <v>0.99999999929013028</v>
      </c>
      <c r="G17" s="40">
        <f t="shared" si="2"/>
        <v>7.0986971856257242E-10</v>
      </c>
      <c r="H17" s="36">
        <f t="shared" si="3"/>
        <v>3.9999999971605211</v>
      </c>
      <c r="I17" s="40">
        <f t="shared" si="3"/>
        <v>2.8394788742502897E-9</v>
      </c>
      <c r="J17" s="44">
        <f t="shared" si="4"/>
        <v>3.945385337159313E-11</v>
      </c>
      <c r="K17" s="45">
        <f t="shared" si="4"/>
        <v>1.4697129284667526E-7</v>
      </c>
    </row>
    <row r="18" spans="2:11" ht="24" customHeight="1" x14ac:dyDescent="0.25">
      <c r="B18" s="1">
        <v>0</v>
      </c>
      <c r="C18" s="155">
        <v>7</v>
      </c>
      <c r="D18" s="52">
        <f t="shared" si="0"/>
        <v>5.8951396037253911E-2</v>
      </c>
      <c r="E18" s="53">
        <f t="shared" si="0"/>
        <v>2.2471983064827927E-7</v>
      </c>
      <c r="F18" s="39">
        <f t="shared" si="1"/>
        <v>0.999991423157509</v>
      </c>
      <c r="G18" s="40">
        <f t="shared" si="2"/>
        <v>8.5768424910037666E-6</v>
      </c>
      <c r="H18" s="36">
        <f t="shared" si="3"/>
        <v>6.9999399621025633</v>
      </c>
      <c r="I18" s="40">
        <f t="shared" si="3"/>
        <v>6.0037897437026366E-5</v>
      </c>
      <c r="J18" s="44">
        <f t="shared" si="4"/>
        <v>8.9999604955152694</v>
      </c>
      <c r="K18" s="45">
        <f t="shared" si="4"/>
        <v>1.1124725923507383E-3</v>
      </c>
    </row>
    <row r="19" spans="2:11" ht="24" customHeight="1" x14ac:dyDescent="0.25">
      <c r="B19" s="1">
        <v>0</v>
      </c>
      <c r="C19" s="155">
        <v>15</v>
      </c>
      <c r="D19" s="52">
        <f t="shared" si="0"/>
        <v>6.6337019355981248E-9</v>
      </c>
      <c r="E19" s="53">
        <f t="shared" si="0"/>
        <v>5.4771002720100298E-2</v>
      </c>
      <c r="F19" s="39">
        <f t="shared" si="1"/>
        <v>5.3829628680786942E-8</v>
      </c>
      <c r="G19" s="40">
        <f t="shared" si="2"/>
        <v>0.99999994617037136</v>
      </c>
      <c r="H19" s="36">
        <f t="shared" si="3"/>
        <v>8.0744443021180409E-7</v>
      </c>
      <c r="I19" s="40">
        <f t="shared" si="3"/>
        <v>14.99999919255557</v>
      </c>
      <c r="J19" s="44">
        <f t="shared" si="4"/>
        <v>6.5133925089357627E-6</v>
      </c>
      <c r="K19" s="45">
        <f t="shared" si="4"/>
        <v>11.484493852448178</v>
      </c>
    </row>
    <row r="20" spans="2:11" ht="24" customHeight="1" x14ac:dyDescent="0.25">
      <c r="B20" s="1">
        <v>0</v>
      </c>
      <c r="C20" s="155">
        <v>16</v>
      </c>
      <c r="D20" s="52">
        <f t="shared" si="0"/>
        <v>2.4818952284037882E-10</v>
      </c>
      <c r="E20" s="53">
        <f t="shared" si="0"/>
        <v>0.10041997145352115</v>
      </c>
      <c r="F20" s="39">
        <f t="shared" si="1"/>
        <v>1.0984479819798592E-9</v>
      </c>
      <c r="G20" s="40">
        <f t="shared" si="2"/>
        <v>0.999999998901552</v>
      </c>
      <c r="H20" s="36">
        <f t="shared" si="3"/>
        <v>1.7575167711677748E-8</v>
      </c>
      <c r="I20" s="40">
        <f t="shared" si="3"/>
        <v>15.999999982424832</v>
      </c>
      <c r="J20" s="44">
        <f t="shared" si="4"/>
        <v>1.5817667499565555E-7</v>
      </c>
      <c r="K20" s="45">
        <f t="shared" si="4"/>
        <v>5.7067383546826465</v>
      </c>
    </row>
    <row r="21" spans="2:11" ht="24" customHeight="1" x14ac:dyDescent="0.25">
      <c r="B21" s="1">
        <v>0</v>
      </c>
      <c r="C21" s="155">
        <v>17</v>
      </c>
      <c r="D21" s="52">
        <f t="shared" si="0"/>
        <v>6.9779272275986303E-12</v>
      </c>
      <c r="E21" s="53">
        <f t="shared" si="0"/>
        <v>0.14926481174704231</v>
      </c>
      <c r="F21" s="39">
        <f t="shared" si="1"/>
        <v>2.0777110218181091E-11</v>
      </c>
      <c r="G21" s="40">
        <f t="shared" si="2"/>
        <v>0.99999999997922284</v>
      </c>
      <c r="H21" s="36">
        <f t="shared" si="3"/>
        <v>3.5321087370907855E-10</v>
      </c>
      <c r="I21" s="40">
        <f t="shared" si="3"/>
        <v>16.999999999646789</v>
      </c>
      <c r="J21" s="44">
        <f t="shared" si="4"/>
        <v>3.5113350200245649E-9</v>
      </c>
      <c r="K21" s="45">
        <f t="shared" si="4"/>
        <v>1.9289822512080748</v>
      </c>
    </row>
    <row r="22" spans="2:11" ht="24" customHeight="1" x14ac:dyDescent="0.25">
      <c r="B22" s="1">
        <v>0</v>
      </c>
      <c r="C22" s="155">
        <v>17.5</v>
      </c>
      <c r="D22" s="52">
        <f t="shared" si="0"/>
        <v>1.0511537523039688E-12</v>
      </c>
      <c r="E22" s="53">
        <f t="shared" si="0"/>
        <v>0.16820991365834093</v>
      </c>
      <c r="F22" s="39">
        <f t="shared" si="1"/>
        <v>2.7773512125859464E-12</v>
      </c>
      <c r="G22" s="40">
        <f t="shared" si="2"/>
        <v>0.99999999999722267</v>
      </c>
      <c r="H22" s="36">
        <f t="shared" si="3"/>
        <v>4.8603646220254064E-11</v>
      </c>
      <c r="I22" s="40">
        <f t="shared" si="3"/>
        <v>17.499999999951395</v>
      </c>
      <c r="J22" s="44">
        <f t="shared" si="4"/>
        <v>5.0617272951382416E-10</v>
      </c>
      <c r="K22" s="45">
        <f t="shared" si="4"/>
        <v>0.79010419639443508</v>
      </c>
    </row>
    <row r="23" spans="2:11" ht="24" customHeight="1" x14ac:dyDescent="0.25">
      <c r="B23" s="1">
        <v>0</v>
      </c>
      <c r="C23" s="155">
        <v>18</v>
      </c>
      <c r="D23" s="52">
        <f t="shared" si="0"/>
        <v>1.4742968221491661E-13</v>
      </c>
      <c r="E23" s="53">
        <f t="shared" si="0"/>
        <v>0.17987165217114626</v>
      </c>
      <c r="F23" s="39">
        <f t="shared" si="1"/>
        <v>3.6428253566929198E-13</v>
      </c>
      <c r="G23" s="40">
        <f t="shared" si="2"/>
        <v>0.99999999999963574</v>
      </c>
      <c r="H23" s="36">
        <f t="shared" si="3"/>
        <v>6.5570856420472552E-12</v>
      </c>
      <c r="I23" s="40">
        <f t="shared" si="3"/>
        <v>17.999999999993442</v>
      </c>
      <c r="J23" s="44">
        <f t="shared" si="4"/>
        <v>7.1399441059185071E-11</v>
      </c>
      <c r="K23" s="45">
        <f t="shared" si="4"/>
        <v>0.15122614154505001</v>
      </c>
    </row>
    <row r="24" spans="2:11" ht="24" customHeight="1" x14ac:dyDescent="0.25">
      <c r="B24" s="1">
        <v>0</v>
      </c>
      <c r="C24" s="155">
        <v>19</v>
      </c>
      <c r="D24" s="52">
        <f t="shared" si="0"/>
        <v>2.340770980151493E-15</v>
      </c>
      <c r="E24" s="53">
        <f t="shared" si="0"/>
        <v>0.17572597120833683</v>
      </c>
      <c r="F24" s="39">
        <f t="shared" si="1"/>
        <v>5.9202373383726263E-15</v>
      </c>
      <c r="G24" s="40">
        <f t="shared" si="2"/>
        <v>0.99999999999999412</v>
      </c>
      <c r="H24" s="36">
        <f t="shared" si="3"/>
        <v>1.1248450942907991E-13</v>
      </c>
      <c r="I24" s="40">
        <f t="shared" si="3"/>
        <v>18.99999999999989</v>
      </c>
      <c r="J24" s="44">
        <f t="shared" si="4"/>
        <v>1.3320545167252894E-12</v>
      </c>
      <c r="K24" s="45">
        <f t="shared" si="4"/>
        <v>0.37347003184205435</v>
      </c>
    </row>
    <row r="25" spans="2:11" ht="24" customHeight="1" x14ac:dyDescent="0.25">
      <c r="B25" s="1">
        <v>0</v>
      </c>
      <c r="C25" s="155">
        <v>20</v>
      </c>
      <c r="D25" s="52">
        <f t="shared" si="0"/>
        <v>2.7928552124033016E-17</v>
      </c>
      <c r="E25" s="53">
        <f t="shared" si="0"/>
        <v>0.13918009320504898</v>
      </c>
      <c r="F25" s="39">
        <f t="shared" si="1"/>
        <v>8.9184102018940358E-17</v>
      </c>
      <c r="G25" s="40">
        <f t="shared" si="2"/>
        <v>0.99999999999999989</v>
      </c>
      <c r="H25" s="36">
        <f t="shared" si="3"/>
        <v>1.7836820403788073E-15</v>
      </c>
      <c r="I25" s="40">
        <f t="shared" si="3"/>
        <v>19.999999999999996</v>
      </c>
      <c r="J25" s="44">
        <f t="shared" si="4"/>
        <v>2.2831148042800378E-14</v>
      </c>
      <c r="K25" s="45">
        <f t="shared" si="4"/>
        <v>2.5957139221390078</v>
      </c>
    </row>
    <row r="26" spans="2:11" ht="24" customHeight="1" x14ac:dyDescent="0.25">
      <c r="B26" s="1">
        <v>0</v>
      </c>
      <c r="C26" s="155">
        <v>21</v>
      </c>
      <c r="D26" s="52">
        <f t="shared" si="0"/>
        <v>2.504110101366529E-19</v>
      </c>
      <c r="E26" s="53">
        <f t="shared" si="0"/>
        <v>8.9368863685514499E-2</v>
      </c>
      <c r="F26" s="39">
        <f t="shared" si="1"/>
        <v>1.2453267857921426E-18</v>
      </c>
      <c r="G26" s="40">
        <f t="shared" si="2"/>
        <v>1</v>
      </c>
      <c r="H26" s="36">
        <f t="shared" si="3"/>
        <v>2.6151862501634995E-17</v>
      </c>
      <c r="I26" s="40">
        <f t="shared" si="3"/>
        <v>21</v>
      </c>
      <c r="J26" s="44">
        <f t="shared" si="4"/>
        <v>3.5989970704824356E-16</v>
      </c>
      <c r="K26" s="45">
        <f t="shared" si="4"/>
        <v>6.8179578124359592</v>
      </c>
    </row>
    <row r="27" spans="2:11" ht="24" customHeight="1" thickBot="1" x14ac:dyDescent="0.3">
      <c r="B27" s="1">
        <v>0</v>
      </c>
      <c r="C27" s="156">
        <v>22</v>
      </c>
      <c r="D27" s="52">
        <f t="shared" si="0"/>
        <v>1.6872285687904553E-21</v>
      </c>
      <c r="E27" s="53">
        <f t="shared" si="0"/>
        <v>4.6522526419648866E-2</v>
      </c>
      <c r="F27" s="39">
        <f t="shared" si="1"/>
        <v>1.6118579831663346E-20</v>
      </c>
      <c r="G27" s="40">
        <f t="shared" si="2"/>
        <v>1</v>
      </c>
      <c r="H27" s="36">
        <f t="shared" si="3"/>
        <v>3.546087562965936E-19</v>
      </c>
      <c r="I27" s="40">
        <f t="shared" si="3"/>
        <v>22</v>
      </c>
      <c r="J27" s="44">
        <f t="shared" si="4"/>
        <v>5.2224235102619611E-18</v>
      </c>
      <c r="K27" s="45">
        <f t="shared" si="4"/>
        <v>13.040201702732912</v>
      </c>
    </row>
    <row r="28" spans="2:11" ht="15.75" customHeight="1" x14ac:dyDescent="0.25">
      <c r="C28" s="46"/>
      <c r="D28" s="47"/>
      <c r="E28" s="48"/>
      <c r="F28" s="48"/>
      <c r="G28" s="47"/>
      <c r="H28" s="47"/>
      <c r="I28" s="47"/>
      <c r="J28" s="49"/>
      <c r="K28" s="49"/>
    </row>
    <row r="29" spans="2:11" ht="23.45" customHeight="1" x14ac:dyDescent="0.25">
      <c r="F29" s="50" t="s">
        <v>24</v>
      </c>
      <c r="G29" s="50" t="s">
        <v>25</v>
      </c>
      <c r="H29" s="50" t="s">
        <v>26</v>
      </c>
      <c r="I29" s="50" t="s">
        <v>27</v>
      </c>
      <c r="J29" s="50" t="s">
        <v>28</v>
      </c>
      <c r="K29" s="50" t="s">
        <v>29</v>
      </c>
    </row>
    <row r="30" spans="2:11" ht="18.600000000000001" customHeight="1" thickBot="1" x14ac:dyDescent="0.3">
      <c r="F30" s="42">
        <f t="shared" ref="F30:K30" si="5">SUM(F15:F27)</f>
        <v>3.9999914773616649</v>
      </c>
      <c r="G30" s="42">
        <f t="shared" si="5"/>
        <v>9.0000085226383355</v>
      </c>
      <c r="H30" s="42">
        <f t="shared" si="5"/>
        <v>15.999940784579209</v>
      </c>
      <c r="I30" s="42">
        <f t="shared" si="5"/>
        <v>165.50005921542078</v>
      </c>
      <c r="J30" s="42">
        <f t="shared" si="5"/>
        <v>13.999929483867719</v>
      </c>
      <c r="K30" s="42">
        <f t="shared" si="5"/>
        <v>42.890000894047837</v>
      </c>
    </row>
    <row r="55" spans="2:4" ht="15.75" thickBot="1" x14ac:dyDescent="0.3"/>
    <row r="56" spans="2:4" ht="24" customHeight="1" thickBot="1" x14ac:dyDescent="0.3">
      <c r="B56" s="116"/>
      <c r="C56" s="117" t="s">
        <v>19</v>
      </c>
      <c r="D56" s="118" t="s">
        <v>20</v>
      </c>
    </row>
    <row r="57" spans="2:4" ht="24" customHeight="1" thickBot="1" x14ac:dyDescent="0.3">
      <c r="B57" s="119" t="s">
        <v>7</v>
      </c>
      <c r="C57" s="120">
        <f>E7</f>
        <v>3.9999937187697543</v>
      </c>
      <c r="D57" s="121">
        <f>F7</f>
        <v>18.388878054851524</v>
      </c>
    </row>
    <row r="58" spans="2:4" ht="24" customHeight="1" thickBot="1" x14ac:dyDescent="0.3">
      <c r="B58" s="119" t="s">
        <v>8</v>
      </c>
      <c r="C58" s="122">
        <f>E10</f>
        <v>1.8708259748714737</v>
      </c>
      <c r="D58" s="123">
        <f>F10</f>
        <v>2.1830142331438829</v>
      </c>
    </row>
    <row r="59" spans="2:4" ht="24" customHeight="1" thickBot="1" x14ac:dyDescent="0.3">
      <c r="B59" s="124" t="s">
        <v>48</v>
      </c>
      <c r="C59" s="125">
        <f>E6</f>
        <v>0.30769165210474347</v>
      </c>
      <c r="D59" s="126">
        <f>F6</f>
        <v>0.69230834789525653</v>
      </c>
    </row>
    <row r="64" spans="2:4" x14ac:dyDescent="0.25">
      <c r="C64" s="72" t="s">
        <v>19</v>
      </c>
      <c r="D64" s="72" t="s">
        <v>20</v>
      </c>
    </row>
    <row r="65" spans="1:4" x14ac:dyDescent="0.25">
      <c r="A65" s="2">
        <v>0.05</v>
      </c>
      <c r="B65" s="71">
        <v>0</v>
      </c>
      <c r="C65" s="4">
        <f>_xlfn.NORM.DIST(B65,$C$57,C$58,FALSE)*C$59</f>
        <v>6.6729753351093459E-3</v>
      </c>
      <c r="D65" s="4">
        <f>_xlfn.NORM.DIST(B65,$D$57,D$58,FALSE)*D$59</f>
        <v>4.9426778352965348E-17</v>
      </c>
    </row>
    <row r="66" spans="1:4" x14ac:dyDescent="0.25">
      <c r="B66" s="71">
        <f t="shared" ref="B66:B129" si="6">B65+$A$65</f>
        <v>0.05</v>
      </c>
      <c r="C66" s="4">
        <f t="shared" ref="C66:C129" si="7">_xlfn.NORM.DIST(B66,$C$57,C$58,FALSE)*C$59</f>
        <v>7.0628710085574352E-3</v>
      </c>
      <c r="D66" s="4">
        <f t="shared" ref="D66:D129" si="8">_xlfn.NORM.DIST(B66,$D$57,D$58,FALSE)*D$59</f>
        <v>5.9929299831234818E-17</v>
      </c>
    </row>
    <row r="67" spans="1:4" x14ac:dyDescent="0.25">
      <c r="B67" s="71">
        <f t="shared" si="6"/>
        <v>0.1</v>
      </c>
      <c r="C67" s="4">
        <f t="shared" si="7"/>
        <v>7.4702101335213725E-3</v>
      </c>
      <c r="D67" s="4">
        <f t="shared" si="8"/>
        <v>7.2625355853907091E-17</v>
      </c>
    </row>
    <row r="68" spans="1:4" x14ac:dyDescent="0.25">
      <c r="B68" s="71">
        <f t="shared" si="6"/>
        <v>0.15000000000000002</v>
      </c>
      <c r="C68" s="4">
        <f t="shared" si="7"/>
        <v>7.8954002500975229E-3</v>
      </c>
      <c r="D68" s="4">
        <f t="shared" si="8"/>
        <v>8.7964920163544516E-17</v>
      </c>
    </row>
    <row r="69" spans="1:4" x14ac:dyDescent="0.25">
      <c r="B69" s="71">
        <f t="shared" si="6"/>
        <v>0.2</v>
      </c>
      <c r="C69" s="4">
        <f t="shared" si="7"/>
        <v>8.3388329230417724E-3</v>
      </c>
      <c r="D69" s="4">
        <f t="shared" si="8"/>
        <v>1.0648855213252231E-16</v>
      </c>
    </row>
    <row r="70" spans="1:4" x14ac:dyDescent="0.25">
      <c r="B70" s="71">
        <f t="shared" si="6"/>
        <v>0.25</v>
      </c>
      <c r="C70" s="4">
        <f t="shared" si="7"/>
        <v>8.800881683024989E-3</v>
      </c>
      <c r="D70" s="4">
        <f t="shared" si="8"/>
        <v>1.2884527637177032E-16</v>
      </c>
    </row>
    <row r="71" spans="1:4" x14ac:dyDescent="0.25">
      <c r="B71" s="71">
        <f t="shared" si="6"/>
        <v>0.3</v>
      </c>
      <c r="C71" s="4">
        <f t="shared" si="7"/>
        <v>9.2818999176890564E-3</v>
      </c>
      <c r="D71" s="4">
        <f t="shared" si="8"/>
        <v>1.5581391880619707E-16</v>
      </c>
    </row>
    <row r="72" spans="1:4" x14ac:dyDescent="0.25">
      <c r="B72" s="71">
        <f t="shared" si="6"/>
        <v>0.35</v>
      </c>
      <c r="C72" s="4">
        <f t="shared" si="7"/>
        <v>9.7822187189678337E-3</v>
      </c>
      <c r="D72" s="4">
        <f t="shared" si="8"/>
        <v>1.8832855290993469E-16</v>
      </c>
    </row>
    <row r="73" spans="1:4" x14ac:dyDescent="0.25">
      <c r="B73" s="71">
        <f t="shared" si="6"/>
        <v>0.39999999999999997</v>
      </c>
      <c r="C73" s="4">
        <f t="shared" si="7"/>
        <v>1.0302144693722273E-2</v>
      </c>
      <c r="D73" s="4">
        <f t="shared" si="8"/>
        <v>2.2750883057718294E-16</v>
      </c>
    </row>
    <row r="74" spans="1:4" x14ac:dyDescent="0.25">
      <c r="B74" s="71">
        <f t="shared" si="6"/>
        <v>0.44999999999999996</v>
      </c>
      <c r="C74" s="4">
        <f t="shared" si="7"/>
        <v>1.0841957745314927E-2</v>
      </c>
      <c r="D74" s="4">
        <f t="shared" si="8"/>
        <v>2.7469611465712833E-16</v>
      </c>
    </row>
    <row r="75" spans="1:4" x14ac:dyDescent="0.25">
      <c r="B75" s="71">
        <f t="shared" si="6"/>
        <v>0.49999999999999994</v>
      </c>
      <c r="C75" s="4">
        <f t="shared" si="7"/>
        <v>1.1401908834311901E-2</v>
      </c>
      <c r="D75" s="4">
        <f t="shared" si="8"/>
        <v>3.3149649832503176E-16</v>
      </c>
    </row>
    <row r="76" spans="1:4" x14ac:dyDescent="0.25">
      <c r="B76" s="71">
        <f t="shared" si="6"/>
        <v>0.54999999999999993</v>
      </c>
      <c r="C76" s="4">
        <f t="shared" si="7"/>
        <v>1.1982217727045427E-2</v>
      </c>
      <c r="D76" s="4">
        <f t="shared" si="8"/>
        <v>3.9983199466893348E-16</v>
      </c>
    </row>
    <row r="77" spans="1:4" x14ac:dyDescent="0.25">
      <c r="B77" s="71">
        <f t="shared" si="6"/>
        <v>0.6</v>
      </c>
      <c r="C77" s="4">
        <f t="shared" si="7"/>
        <v>1.2583070741293218E-2</v>
      </c>
      <c r="D77" s="4">
        <f t="shared" si="8"/>
        <v>4.8200141337413705E-16</v>
      </c>
    </row>
    <row r="78" spans="1:4" x14ac:dyDescent="0.25">
      <c r="B78" s="71">
        <f t="shared" si="6"/>
        <v>0.65</v>
      </c>
      <c r="C78" s="4">
        <f t="shared" si="7"/>
        <v>1.320461849882669E-2</v>
      </c>
      <c r="D78" s="4">
        <f t="shared" si="8"/>
        <v>5.8075271630235593E-16</v>
      </c>
    </row>
    <row r="79" spans="1:4" x14ac:dyDescent="0.25">
      <c r="B79" s="71">
        <f t="shared" si="6"/>
        <v>0.70000000000000007</v>
      </c>
      <c r="C79" s="4">
        <f t="shared" si="7"/>
        <v>1.3846973695044914E-2</v>
      </c>
      <c r="D79" s="4">
        <f t="shared" si="8"/>
        <v>6.9936896723445852E-16</v>
      </c>
    </row>
    <row r="80" spans="1:4" x14ac:dyDescent="0.25">
      <c r="B80" s="71">
        <f t="shared" si="6"/>
        <v>0.75000000000000011</v>
      </c>
      <c r="C80" s="4">
        <f t="shared" si="7"/>
        <v>1.4510208896339531E-2</v>
      </c>
      <c r="D80" s="4">
        <f t="shared" si="8"/>
        <v>8.4177037141704741E-16</v>
      </c>
    </row>
    <row r="81" spans="2:4" x14ac:dyDescent="0.25">
      <c r="B81" s="71">
        <f t="shared" si="6"/>
        <v>0.80000000000000016</v>
      </c>
      <c r="C81" s="4">
        <f t="shared" si="7"/>
        <v>1.5194354376223504E-2</v>
      </c>
      <c r="D81" s="4">
        <f t="shared" si="8"/>
        <v>1.0126353475577386E-15</v>
      </c>
    </row>
    <row r="82" spans="2:4" x14ac:dyDescent="0.25">
      <c r="B82" s="71">
        <f t="shared" si="6"/>
        <v>0.8500000000000002</v>
      </c>
      <c r="C82" s="4">
        <f t="shared" si="7"/>
        <v>1.5899396001598863E-2</v>
      </c>
      <c r="D82" s="4">
        <f t="shared" si="8"/>
        <v>1.2175440998991849E-15</v>
      </c>
    </row>
    <row r="83" spans="2:4" x14ac:dyDescent="0.25">
      <c r="B83" s="71">
        <f t="shared" si="6"/>
        <v>0.90000000000000024</v>
      </c>
      <c r="C83" s="4">
        <f t="shared" si="7"/>
        <v>1.662527318083095E-2</v>
      </c>
      <c r="D83" s="4">
        <f t="shared" si="8"/>
        <v>1.463148774191356E-15</v>
      </c>
    </row>
    <row r="84" spans="2:4" x14ac:dyDescent="0.25">
      <c r="B84" s="71">
        <f t="shared" si="6"/>
        <v>0.95000000000000029</v>
      </c>
      <c r="C84" s="4">
        <f t="shared" si="7"/>
        <v>1.7371876885534977E-2</v>
      </c>
      <c r="D84" s="4">
        <f t="shared" si="8"/>
        <v>1.7573750041736515E-15</v>
      </c>
    </row>
    <row r="85" spans="2:4" x14ac:dyDescent="0.25">
      <c r="B85" s="71">
        <f t="shared" si="6"/>
        <v>1.0000000000000002</v>
      </c>
      <c r="C85" s="4">
        <f t="shared" si="7"/>
        <v>1.8139047758160446E-2</v>
      </c>
      <c r="D85" s="4">
        <f t="shared" si="8"/>
        <v>2.1096605024872815E-15</v>
      </c>
    </row>
    <row r="86" spans="2:4" x14ac:dyDescent="0.25">
      <c r="B86" s="71">
        <f t="shared" si="6"/>
        <v>1.0500000000000003</v>
      </c>
      <c r="C86" s="4">
        <f t="shared" si="7"/>
        <v>1.8926574317576751E-2</v>
      </c>
      <c r="D86" s="4">
        <f t="shared" si="8"/>
        <v>2.5312373426035066E-15</v>
      </c>
    </row>
    <row r="87" spans="2:4" x14ac:dyDescent="0.25">
      <c r="B87" s="71">
        <f t="shared" si="6"/>
        <v>1.1000000000000003</v>
      </c>
      <c r="C87" s="4">
        <f t="shared" si="7"/>
        <v>1.9734191274915061E-2</v>
      </c>
      <c r="D87" s="4">
        <f t="shared" si="8"/>
        <v>3.0354657405836991E-15</v>
      </c>
    </row>
    <row r="88" spans="2:4" x14ac:dyDescent="0.25">
      <c r="B88" s="71">
        <f t="shared" si="6"/>
        <v>1.1500000000000004</v>
      </c>
      <c r="C88" s="4">
        <f t="shared" si="7"/>
        <v>2.0561577971903989E-2</v>
      </c>
      <c r="D88" s="4">
        <f t="shared" si="8"/>
        <v>3.6382285054048705E-15</v>
      </c>
    </row>
    <row r="89" spans="2:4" x14ac:dyDescent="0.25">
      <c r="B89" s="71">
        <f t="shared" si="6"/>
        <v>1.2000000000000004</v>
      </c>
      <c r="C89" s="4">
        <f t="shared" si="7"/>
        <v>2.1408356953847216E-2</v>
      </c>
      <c r="D89" s="4">
        <f t="shared" si="8"/>
        <v>4.3583969168231236E-15</v>
      </c>
    </row>
    <row r="90" spans="2:4" x14ac:dyDescent="0.25">
      <c r="B90" s="71">
        <f t="shared" si="6"/>
        <v>1.2500000000000004</v>
      </c>
      <c r="C90" s="4">
        <f t="shared" si="7"/>
        <v>2.2274092689226716E-2</v>
      </c>
      <c r="D90" s="4">
        <f t="shared" si="8"/>
        <v>5.2183806481532507E-15</v>
      </c>
    </row>
    <row r="91" spans="2:4" x14ac:dyDescent="0.25">
      <c r="B91" s="71">
        <f t="shared" si="6"/>
        <v>1.3000000000000005</v>
      </c>
      <c r="C91" s="4">
        <f t="shared" si="7"/>
        <v>2.3158290447674302E-2</v>
      </c>
      <c r="D91" s="4">
        <f t="shared" si="8"/>
        <v>6.2447765217870961E-15</v>
      </c>
    </row>
    <row r="92" spans="2:4" x14ac:dyDescent="0.25">
      <c r="B92" s="71">
        <f t="shared" si="6"/>
        <v>1.3500000000000005</v>
      </c>
      <c r="C92" s="4">
        <f t="shared" si="7"/>
        <v>2.4060395347734187E-2</v>
      </c>
      <c r="D92" s="4">
        <f t="shared" si="8"/>
        <v>7.4691334185578441E-15</v>
      </c>
    </row>
    <row r="93" spans="2:4" x14ac:dyDescent="0.25">
      <c r="B93" s="71">
        <f t="shared" si="6"/>
        <v>1.4000000000000006</v>
      </c>
      <c r="C93" s="4">
        <f t="shared" si="7"/>
        <v>2.4979791585440083E-2</v>
      </c>
      <c r="D93" s="4">
        <f t="shared" si="8"/>
        <v>8.9288536169934263E-15</v>
      </c>
    </row>
    <row r="94" spans="2:4" x14ac:dyDescent="0.25">
      <c r="B94" s="71">
        <f t="shared" si="6"/>
        <v>1.4500000000000006</v>
      </c>
      <c r="C94" s="4">
        <f t="shared" si="7"/>
        <v>2.5915801854250634E-2</v>
      </c>
      <c r="D94" s="4">
        <f t="shared" si="8"/>
        <v>1.0668254283107352E-14</v>
      </c>
    </row>
    <row r="95" spans="2:4" x14ac:dyDescent="0.25">
      <c r="B95" s="71">
        <f t="shared" si="6"/>
        <v>1.5000000000000007</v>
      </c>
      <c r="C95" s="4">
        <f t="shared" si="7"/>
        <v>2.6867686966326628E-2</v>
      </c>
      <c r="D95" s="4">
        <f t="shared" si="8"/>
        <v>1.2739816844272566E-14</v>
      </c>
    </row>
    <row r="96" spans="2:4" x14ac:dyDescent="0.25">
      <c r="B96" s="71">
        <f t="shared" si="6"/>
        <v>1.5500000000000007</v>
      </c>
      <c r="C96" s="4">
        <f t="shared" si="7"/>
        <v>2.7834645684493595E-2</v>
      </c>
      <c r="D96" s="4">
        <f t="shared" si="8"/>
        <v>1.5205656652730506E-14</v>
      </c>
    </row>
    <row r="97" spans="2:4" x14ac:dyDescent="0.25">
      <c r="B97" s="71">
        <f t="shared" si="6"/>
        <v>1.6000000000000008</v>
      </c>
      <c r="C97" s="4">
        <f t="shared" si="7"/>
        <v>2.8815814773514331E-2</v>
      </c>
      <c r="D97" s="4">
        <f t="shared" si="8"/>
        <v>1.8139250780237288E-14</v>
      </c>
    </row>
    <row r="98" spans="2:4" x14ac:dyDescent="0.25">
      <c r="B98" s="71">
        <f t="shared" si="6"/>
        <v>1.6500000000000008</v>
      </c>
      <c r="C98" s="4">
        <f t="shared" si="7"/>
        <v>2.9810269278500189E-2</v>
      </c>
      <c r="D98" s="4">
        <f t="shared" si="8"/>
        <v>2.1627468106161303E-14</v>
      </c>
    </row>
    <row r="99" spans="2:4" x14ac:dyDescent="0.25">
      <c r="B99" s="71">
        <f t="shared" si="6"/>
        <v>1.7000000000000008</v>
      </c>
      <c r="C99" s="4">
        <f t="shared" si="7"/>
        <v>3.0817023037419178E-2</v>
      </c>
      <c r="D99" s="4">
        <f t="shared" si="8"/>
        <v>2.5772953206425596E-14</v>
      </c>
    </row>
    <row r="100" spans="2:4" x14ac:dyDescent="0.25">
      <c r="B100" s="71">
        <f t="shared" si="6"/>
        <v>1.7500000000000009</v>
      </c>
      <c r="C100" s="4">
        <f t="shared" si="7"/>
        <v>3.1835029433716584E-2</v>
      </c>
      <c r="D100" s="4">
        <f t="shared" si="8"/>
        <v>3.0696924080607369E-14</v>
      </c>
    </row>
    <row r="101" spans="2:4" x14ac:dyDescent="0.25">
      <c r="B101" s="71">
        <f t="shared" si="6"/>
        <v>1.8000000000000009</v>
      </c>
      <c r="C101" s="4">
        <f t="shared" si="7"/>
        <v>3.286318239405308E-2</v>
      </c>
      <c r="D101" s="4">
        <f t="shared" si="8"/>
        <v>3.6542453654106664E-14</v>
      </c>
    </row>
    <row r="102" spans="2:4" x14ac:dyDescent="0.25">
      <c r="B102" s="71">
        <f t="shared" si="6"/>
        <v>1.850000000000001</v>
      </c>
      <c r="C102" s="4">
        <f t="shared" si="7"/>
        <v>3.3900317635091264E-2</v>
      </c>
      <c r="D102" s="4">
        <f t="shared" si="8"/>
        <v>4.3478316474249925E-14</v>
      </c>
    </row>
    <row r="103" spans="2:4" x14ac:dyDescent="0.25">
      <c r="B103" s="71">
        <f t="shared" si="6"/>
        <v>1.900000000000001</v>
      </c>
      <c r="C103" s="4">
        <f t="shared" si="7"/>
        <v>3.4945214162127571E-2</v>
      </c>
      <c r="D103" s="4">
        <f t="shared" si="8"/>
        <v>5.1703495327903716E-14</v>
      </c>
    </row>
    <row r="104" spans="2:4" x14ac:dyDescent="0.25">
      <c r="B104" s="71">
        <f t="shared" si="6"/>
        <v>1.9500000000000011</v>
      </c>
      <c r="C104" s="4">
        <f t="shared" si="7"/>
        <v>3.5996596021179404E-2</v>
      </c>
      <c r="D104" s="4">
        <f t="shared" si="8"/>
        <v>6.1452457924512782E-14</v>
      </c>
    </row>
    <row r="105" spans="2:4" x14ac:dyDescent="0.25">
      <c r="B105" s="71">
        <f t="shared" si="6"/>
        <v>2.0000000000000009</v>
      </c>
      <c r="C105" s="4">
        <f t="shared" si="7"/>
        <v>3.705313430490273E-2</v>
      </c>
      <c r="D105" s="4">
        <f t="shared" si="8"/>
        <v>7.3001331634774849E-14</v>
      </c>
    </row>
    <row r="106" spans="2:4" x14ac:dyDescent="0.25">
      <c r="B106" s="71">
        <f t="shared" si="6"/>
        <v>2.0500000000000007</v>
      </c>
      <c r="C106" s="4">
        <f t="shared" si="7"/>
        <v>3.8113449411439043E-2</v>
      </c>
      <c r="D106" s="4">
        <f t="shared" si="8"/>
        <v>8.6675124921266333E-14</v>
      </c>
    </row>
    <row r="107" spans="2:4" x14ac:dyDescent="0.25">
      <c r="B107" s="71">
        <f t="shared" si="6"/>
        <v>2.1000000000000005</v>
      </c>
      <c r="C107" s="4">
        <f t="shared" si="7"/>
        <v>3.9176113553980658E-2</v>
      </c>
      <c r="D107" s="4">
        <f t="shared" si="8"/>
        <v>1.0285616796717195E-13</v>
      </c>
    </row>
    <row r="108" spans="2:4" x14ac:dyDescent="0.25">
      <c r="B108" s="71">
        <f t="shared" si="6"/>
        <v>2.1500000000000004</v>
      </c>
      <c r="C108" s="4">
        <f t="shared" si="7"/>
        <v>4.0239653517506656E-2</v>
      </c>
      <c r="D108" s="4">
        <f t="shared" si="8"/>
        <v>1.219939725885577E-13</v>
      </c>
    </row>
    <row r="109" spans="2:4" x14ac:dyDescent="0.25">
      <c r="B109" s="71">
        <f t="shared" si="6"/>
        <v>2.2000000000000002</v>
      </c>
      <c r="C109" s="4">
        <f t="shared" si="7"/>
        <v>4.1302553657786512E-2</v>
      </c>
      <c r="D109" s="4">
        <f t="shared" si="8"/>
        <v>1.4461674336029565E-13</v>
      </c>
    </row>
    <row r="110" spans="2:4" x14ac:dyDescent="0.25">
      <c r="B110" s="71">
        <f t="shared" si="6"/>
        <v>2.25</v>
      </c>
      <c r="C110" s="4">
        <f t="shared" si="7"/>
        <v>4.2363259136382433E-2</v>
      </c>
      <c r="D110" s="4">
        <f t="shared" si="8"/>
        <v>1.7134480863181357E-13</v>
      </c>
    </row>
    <row r="111" spans="2:4" x14ac:dyDescent="0.25">
      <c r="B111" s="71">
        <f t="shared" si="6"/>
        <v>2.2999999999999998</v>
      </c>
      <c r="C111" s="4">
        <f t="shared" si="7"/>
        <v>4.3420179384014386E-2</v>
      </c>
      <c r="D111" s="4">
        <f t="shared" si="8"/>
        <v>2.0290628248351647E-13</v>
      </c>
    </row>
    <row r="112" spans="2:4" x14ac:dyDescent="0.25">
      <c r="B112" s="71">
        <f t="shared" si="6"/>
        <v>2.3499999999999996</v>
      </c>
      <c r="C112" s="4">
        <f t="shared" si="7"/>
        <v>4.4471691783291016E-2</v>
      </c>
      <c r="D112" s="4">
        <f t="shared" si="8"/>
        <v>2.4015531750831646E-13</v>
      </c>
    </row>
    <row r="113" spans="2:4" x14ac:dyDescent="0.25">
      <c r="B113" s="71">
        <f t="shared" si="6"/>
        <v>2.3999999999999995</v>
      </c>
      <c r="C113" s="4">
        <f t="shared" si="7"/>
        <v>4.5516145560465404E-2</v>
      </c>
      <c r="D113" s="4">
        <f t="shared" si="8"/>
        <v>2.8409336454365091E-13</v>
      </c>
    </row>
    <row r="114" spans="2:4" x14ac:dyDescent="0.25">
      <c r="B114" s="71">
        <f t="shared" si="6"/>
        <v>2.4499999999999993</v>
      </c>
      <c r="C114" s="4">
        <f t="shared" si="7"/>
        <v>4.6551865874555884E-2</v>
      </c>
      <c r="D114" s="4">
        <f t="shared" si="8"/>
        <v>3.3589392020897018E-13</v>
      </c>
    </row>
    <row r="115" spans="2:4" x14ac:dyDescent="0.25">
      <c r="B115" s="71">
        <f t="shared" si="6"/>
        <v>2.4999999999999991</v>
      </c>
      <c r="C115" s="4">
        <f t="shared" si="7"/>
        <v>4.757715809088725E-2</v>
      </c>
      <c r="D115" s="4">
        <f t="shared" si="8"/>
        <v>3.9693131755483878E-13</v>
      </c>
    </row>
    <row r="116" spans="2:4" x14ac:dyDescent="0.25">
      <c r="B116" s="71">
        <f t="shared" si="6"/>
        <v>2.5499999999999989</v>
      </c>
      <c r="C116" s="4">
        <f t="shared" si="7"/>
        <v>4.8590312224866851E-2</v>
      </c>
      <c r="D116" s="4">
        <f t="shared" si="8"/>
        <v>4.6881420070708513E-13</v>
      </c>
    </row>
    <row r="117" spans="2:4" x14ac:dyDescent="0.25">
      <c r="B117" s="71">
        <f t="shared" si="6"/>
        <v>2.5999999999999988</v>
      </c>
      <c r="C117" s="4">
        <f t="shared" si="7"/>
        <v>4.9589607540622485E-2</v>
      </c>
      <c r="D117" s="4">
        <f t="shared" si="8"/>
        <v>5.5342442269088464E-13</v>
      </c>
    </row>
    <row r="118" spans="2:4" x14ac:dyDescent="0.25">
      <c r="B118" s="71">
        <f t="shared" si="6"/>
        <v>2.6499999999999986</v>
      </c>
      <c r="C118" s="4">
        <f t="shared" si="7"/>
        <v>5.0573317288002101E-2</v>
      </c>
      <c r="D118" s="4">
        <f t="shared" si="8"/>
        <v>6.529622184639563E-13</v>
      </c>
    </row>
    <row r="119" spans="2:4" x14ac:dyDescent="0.25">
      <c r="B119" s="71">
        <f t="shared" si="6"/>
        <v>2.6999999999999984</v>
      </c>
      <c r="C119" s="4">
        <f t="shared" si="7"/>
        <v>5.1539713560379903E-2</v>
      </c>
      <c r="D119" s="4">
        <f t="shared" si="8"/>
        <v>7.6999863464149894E-13</v>
      </c>
    </row>
    <row r="120" spans="2:4" x14ac:dyDescent="0.25">
      <c r="B120" s="71">
        <f t="shared" si="6"/>
        <v>2.7499999999999982</v>
      </c>
      <c r="C120" s="4">
        <f t="shared" si="7"/>
        <v>5.2487072254735999E-2</v>
      </c>
      <c r="D120" s="4">
        <f t="shared" si="8"/>
        <v>9.0753634580526271E-13</v>
      </c>
    </row>
    <row r="121" spans="2:4" x14ac:dyDescent="0.25">
      <c r="B121" s="71">
        <f t="shared" si="6"/>
        <v>2.799999999999998</v>
      </c>
      <c r="C121" s="4">
        <f t="shared" si="7"/>
        <v>5.3413678114586825E-2</v>
      </c>
      <c r="D121" s="4">
        <f t="shared" si="8"/>
        <v>1.0690801573196403E-12</v>
      </c>
    </row>
    <row r="122" spans="2:4" x14ac:dyDescent="0.25">
      <c r="B122" s="71">
        <f t="shared" si="6"/>
        <v>2.8499999999999979</v>
      </c>
      <c r="C122" s="4">
        <f t="shared" si="7"/>
        <v>5.4317829835547407E-2</v>
      </c>
      <c r="D122" s="4">
        <f t="shared" si="8"/>
        <v>1.2587186892493527E-12</v>
      </c>
    </row>
    <row r="123" spans="2:4" x14ac:dyDescent="0.25">
      <c r="B123" s="71">
        <f t="shared" si="6"/>
        <v>2.8999999999999977</v>
      </c>
      <c r="C123" s="4">
        <f t="shared" si="7"/>
        <v>5.5197845212611701E-2</v>
      </c>
      <c r="D123" s="4">
        <f t="shared" si="8"/>
        <v>1.4812189587111903E-12</v>
      </c>
    </row>
    <row r="124" spans="2:4" x14ac:dyDescent="0.25">
      <c r="B124" s="71">
        <f t="shared" si="6"/>
        <v>2.9499999999999975</v>
      </c>
      <c r="C124" s="4">
        <f t="shared" si="7"/>
        <v>5.6052066307650833E-2</v>
      </c>
      <c r="D124" s="4">
        <f t="shared" si="8"/>
        <v>1.7421358326730826E-12</v>
      </c>
    </row>
    <row r="125" spans="2:4" x14ac:dyDescent="0.25">
      <c r="B125" s="71">
        <f t="shared" si="6"/>
        <v>2.9999999999999973</v>
      </c>
      <c r="C125" s="4">
        <f t="shared" si="7"/>
        <v>5.6878864615155143E-2</v>
      </c>
      <c r="D125" s="4">
        <f t="shared" si="8"/>
        <v>2.0479386142255689E-12</v>
      </c>
    </row>
    <row r="126" spans="2:4" x14ac:dyDescent="0.25">
      <c r="B126" s="71">
        <f t="shared" si="6"/>
        <v>3.0499999999999972</v>
      </c>
      <c r="C126" s="4">
        <f t="shared" si="7"/>
        <v>5.7676646203890944E-2</v>
      </c>
      <c r="D126" s="4">
        <f t="shared" si="8"/>
        <v>2.4061573576552847E-12</v>
      </c>
    </row>
    <row r="127" spans="2:4" x14ac:dyDescent="0.25">
      <c r="B127" s="71">
        <f t="shared" si="6"/>
        <v>3.099999999999997</v>
      </c>
      <c r="C127" s="4">
        <f t="shared" si="7"/>
        <v>5.8443856811911089E-2</v>
      </c>
      <c r="D127" s="4">
        <f t="shared" si="8"/>
        <v>2.825551886853287E-12</v>
      </c>
    </row>
    <row r="128" spans="2:4" x14ac:dyDescent="0.25">
      <c r="B128" s="71">
        <f t="shared" si="6"/>
        <v>3.1499999999999968</v>
      </c>
      <c r="C128" s="4">
        <f t="shared" si="7"/>
        <v>5.917898687225203E-2</v>
      </c>
      <c r="D128" s="4">
        <f t="shared" si="8"/>
        <v>3.316306924023182E-12</v>
      </c>
    </row>
    <row r="129" spans="2:4" x14ac:dyDescent="0.25">
      <c r="B129" s="71">
        <f t="shared" si="6"/>
        <v>3.1999999999999966</v>
      </c>
      <c r="C129" s="4">
        <f t="shared" si="7"/>
        <v>5.9880576446672773E-2</v>
      </c>
      <c r="D129" s="4">
        <f t="shared" si="8"/>
        <v>3.8902572284556226E-12</v>
      </c>
    </row>
    <row r="130" spans="2:4" x14ac:dyDescent="0.25">
      <c r="B130" s="71">
        <f t="shared" ref="B130:B193" si="9">B129+$A$65</f>
        <v>3.2499999999999964</v>
      </c>
      <c r="C130" s="4">
        <f t="shared" ref="C130:C193" si="10">_xlfn.NORM.DIST(B130,$C$57,C$58,FALSE)*C$59</f>
        <v>6.0547220044944693E-2</v>
      </c>
      <c r="D130" s="4">
        <f t="shared" ref="D130:D193" si="11">_xlfn.NORM.DIST(B130,$D$57,D$58,FALSE)*D$59</f>
        <v>4.5611472063589427E-12</v>
      </c>
    </row>
    <row r="131" spans="2:4" x14ac:dyDescent="0.25">
      <c r="B131" s="71">
        <f t="shared" si="9"/>
        <v>3.2999999999999963</v>
      </c>
      <c r="C131" s="4">
        <f t="shared" si="10"/>
        <v>6.117757130748526E-2</v>
      </c>
      <c r="D131" s="4">
        <f t="shared" si="11"/>
        <v>5.3449300914486872E-12</v>
      </c>
    </row>
    <row r="132" spans="2:4" x14ac:dyDescent="0.25">
      <c r="B132" s="71">
        <f t="shared" si="9"/>
        <v>3.3499999999999961</v>
      </c>
      <c r="C132" s="4">
        <f t="shared" si="10"/>
        <v>6.1770347529544752E-2</v>
      </c>
      <c r="D132" s="4">
        <f t="shared" si="11"/>
        <v>6.2601125224113568E-12</v>
      </c>
    </row>
    <row r="133" spans="2:4" x14ac:dyDescent="0.25">
      <c r="B133" s="71">
        <f t="shared" si="9"/>
        <v>3.3999999999999959</v>
      </c>
      <c r="C133" s="4">
        <f t="shared" si="10"/>
        <v>6.232433400570047E-2</v>
      </c>
      <c r="D133" s="4">
        <f t="shared" si="11"/>
        <v>7.3281511689524263E-12</v>
      </c>
    </row>
    <row r="134" spans="2:4" x14ac:dyDescent="0.25">
      <c r="B134" s="71">
        <f t="shared" si="9"/>
        <v>3.4499999999999957</v>
      </c>
      <c r="C134" s="4">
        <f t="shared" si="10"/>
        <v>6.2838388174086865E-2</v>
      </c>
      <c r="D134" s="4">
        <f t="shared" si="11"/>
        <v>8.5739089958193246E-12</v>
      </c>
    </row>
    <row r="135" spans="2:4" x14ac:dyDescent="0.25">
      <c r="B135" s="71">
        <f t="shared" si="9"/>
        <v>3.4999999999999956</v>
      </c>
      <c r="C135" s="4">
        <f t="shared" si="10"/>
        <v>6.3311443540588763E-2</v>
      </c>
      <c r="D135" s="4">
        <f t="shared" si="11"/>
        <v>1.0026179818453716E-11</v>
      </c>
    </row>
    <row r="136" spans="2:4" x14ac:dyDescent="0.25">
      <c r="B136" s="71">
        <f t="shared" si="9"/>
        <v>3.5499999999999954</v>
      </c>
      <c r="C136" s="4">
        <f t="shared" si="10"/>
        <v>6.3742513364144465E-2</v>
      </c>
      <c r="D136" s="4">
        <f t="shared" si="11"/>
        <v>1.1718291011033613E-11</v>
      </c>
    </row>
    <row r="137" spans="2:4" x14ac:dyDescent="0.25">
      <c r="B137" s="71">
        <f t="shared" si="9"/>
        <v>3.5999999999999952</v>
      </c>
      <c r="C137" s="4">
        <f t="shared" si="10"/>
        <v>6.4130694085342624E-2</v>
      </c>
      <c r="D137" s="4">
        <f t="shared" si="11"/>
        <v>1.3688795595851547E-11</v>
      </c>
    </row>
    <row r="138" spans="2:4" x14ac:dyDescent="0.25">
      <c r="B138" s="71">
        <f t="shared" si="9"/>
        <v>3.649999999999995</v>
      </c>
      <c r="C138" s="4">
        <f t="shared" si="10"/>
        <v>6.4475168481642656E-2</v>
      </c>
      <c r="D138" s="4">
        <f t="shared" si="11"/>
        <v>1.5982266492675967E-11</v>
      </c>
    </row>
    <row r="139" spans="2:4" x14ac:dyDescent="0.25">
      <c r="B139" s="71">
        <f t="shared" si="9"/>
        <v>3.6999999999999948</v>
      </c>
      <c r="C139" s="4">
        <f t="shared" si="10"/>
        <v>6.4775208533800629E-2</v>
      </c>
      <c r="D139" s="4">
        <f t="shared" si="11"/>
        <v>1.8650207460823387E-11</v>
      </c>
    </row>
    <row r="140" spans="2:4" x14ac:dyDescent="0.25">
      <c r="B140" s="71">
        <f t="shared" si="9"/>
        <v>3.7499999999999947</v>
      </c>
      <c r="C140" s="4">
        <f t="shared" si="10"/>
        <v>6.5030177989429547E-2</v>
      </c>
      <c r="D140" s="4">
        <f t="shared" si="11"/>
        <v>2.1752097250726497E-11</v>
      </c>
    </row>
    <row r="141" spans="2:4" x14ac:dyDescent="0.25">
      <c r="B141" s="71">
        <f t="shared" si="9"/>
        <v>3.7999999999999945</v>
      </c>
      <c r="C141" s="4">
        <f t="shared" si="10"/>
        <v>6.5239534611060551E-2</v>
      </c>
      <c r="D141" s="4">
        <f t="shared" si="11"/>
        <v>2.5356585724402824E-11</v>
      </c>
    </row>
    <row r="142" spans="2:4" x14ac:dyDescent="0.25">
      <c r="B142" s="71">
        <f t="shared" si="9"/>
        <v>3.8499999999999943</v>
      </c>
      <c r="C142" s="4">
        <f t="shared" si="10"/>
        <v>6.5402832097587446E-2</v>
      </c>
      <c r="D142" s="4">
        <f t="shared" si="11"/>
        <v>2.9542863237359936E-11</v>
      </c>
    </row>
    <row r="143" spans="2:4" x14ac:dyDescent="0.25">
      <c r="B143" s="71">
        <f t="shared" si="9"/>
        <v>3.8999999999999941</v>
      </c>
      <c r="C143" s="4">
        <f t="shared" si="10"/>
        <v>6.5519721669565198E-2</v>
      </c>
      <c r="D143" s="4">
        <f t="shared" si="11"/>
        <v>3.4402227433747598E-11</v>
      </c>
    </row>
    <row r="144" spans="2:4" x14ac:dyDescent="0.25">
      <c r="B144" s="71">
        <f t="shared" si="9"/>
        <v>3.949999999999994</v>
      </c>
      <c r="C144" s="4">
        <f t="shared" si="10"/>
        <v>6.5589953310480481E-2</v>
      </c>
      <c r="D144" s="4">
        <f t="shared" si="11"/>
        <v>4.0039874831732675E-11</v>
      </c>
    </row>
    <row r="145" spans="2:4" x14ac:dyDescent="0.25">
      <c r="B145" s="71">
        <f t="shared" si="9"/>
        <v>3.9999999999999938</v>
      </c>
      <c r="C145" s="4">
        <f t="shared" si="10"/>
        <v>6.5613376657811182E-2</v>
      </c>
      <c r="D145" s="4">
        <f t="shared" si="11"/>
        <v>4.6576948211380853E-11</v>
      </c>
    </row>
    <row r="146" spans="2:4" x14ac:dyDescent="0.25">
      <c r="B146" s="71">
        <f t="shared" si="9"/>
        <v>4.0499999999999936</v>
      </c>
      <c r="C146" s="4">
        <f t="shared" si="10"/>
        <v>6.5589941539430222E-2</v>
      </c>
      <c r="D146" s="4">
        <f t="shared" si="11"/>
        <v>5.4152874912094211E-11</v>
      </c>
    </row>
    <row r="147" spans="2:4" x14ac:dyDescent="0.25">
      <c r="B147" s="71">
        <f t="shared" si="9"/>
        <v>4.0999999999999934</v>
      </c>
      <c r="C147" s="4">
        <f t="shared" si="10"/>
        <v>6.5519698152674957E-2</v>
      </c>
      <c r="D147" s="4">
        <f t="shared" si="11"/>
        <v>6.292803575564768E-11</v>
      </c>
    </row>
    <row r="148" spans="2:4" x14ac:dyDescent="0.25">
      <c r="B148" s="71">
        <f t="shared" si="9"/>
        <v>4.1499999999999932</v>
      </c>
      <c r="C148" s="4">
        <f t="shared" si="10"/>
        <v>6.5402796885187728E-2</v>
      </c>
      <c r="D148" s="4">
        <f t="shared" si="11"/>
        <v>7.3086809495035805E-11</v>
      </c>
    </row>
    <row r="149" spans="2:4" x14ac:dyDescent="0.25">
      <c r="B149" s="71">
        <f t="shared" si="9"/>
        <v>4.1999999999999931</v>
      </c>
      <c r="C149" s="4">
        <f t="shared" si="10"/>
        <v>6.5239487778422658E-2</v>
      </c>
      <c r="D149" s="4">
        <f t="shared" si="11"/>
        <v>8.4841043516297771E-11</v>
      </c>
    </row>
    <row r="150" spans="2:4" x14ac:dyDescent="0.25">
      <c r="B150" s="71">
        <f t="shared" si="9"/>
        <v>4.2499999999999929</v>
      </c>
      <c r="C150" s="4">
        <f t="shared" si="10"/>
        <v>6.5030119636497505E-2</v>
      </c>
      <c r="D150" s="4">
        <f t="shared" si="11"/>
        <v>9.843400806526604E-11</v>
      </c>
    </row>
    <row r="151" spans="2:4" x14ac:dyDescent="0.25">
      <c r="B151" s="71">
        <f t="shared" si="9"/>
        <v>4.2999999999999927</v>
      </c>
      <c r="C151" s="4">
        <f t="shared" si="10"/>
        <v>6.4775138784835706E-2</v>
      </c>
      <c r="D151" s="4">
        <f t="shared" si="11"/>
        <v>1.1414489861697948E-10</v>
      </c>
    </row>
    <row r="152" spans="2:4" x14ac:dyDescent="0.25">
      <c r="B152" s="71">
        <f t="shared" si="9"/>
        <v>4.3499999999999925</v>
      </c>
      <c r="C152" s="4">
        <f t="shared" si="10"/>
        <v>6.4475087484782548E-2</v>
      </c>
      <c r="D152" s="4">
        <f t="shared" si="11"/>
        <v>1.3229395924439204E-10</v>
      </c>
    </row>
    <row r="153" spans="2:4" x14ac:dyDescent="0.25">
      <c r="B153" s="71">
        <f t="shared" si="9"/>
        <v>4.3999999999999924</v>
      </c>
      <c r="C153" s="4">
        <f t="shared" si="10"/>
        <v>6.413060201207714E-2</v>
      </c>
      <c r="D153" s="4">
        <f t="shared" si="11"/>
        <v>1.5324830907694877E-10</v>
      </c>
    </row>
    <row r="154" spans="2:4" x14ac:dyDescent="0.25">
      <c r="B154" s="71">
        <f t="shared" si="9"/>
        <v>4.4499999999999922</v>
      </c>
      <c r="C154" s="4">
        <f t="shared" si="10"/>
        <v>6.374241040871062E-2</v>
      </c>
      <c r="D154" s="4">
        <f t="shared" si="11"/>
        <v>1.774285642812624E-10</v>
      </c>
    </row>
    <row r="155" spans="2:4" x14ac:dyDescent="0.25">
      <c r="B155" s="71">
        <f t="shared" si="9"/>
        <v>4.499999999999992</v>
      </c>
      <c r="C155" s="4">
        <f t="shared" si="10"/>
        <v>6.331132991928802E-2</v>
      </c>
      <c r="D155" s="4">
        <f t="shared" si="11"/>
        <v>2.0531635957000827E-10</v>
      </c>
    </row>
    <row r="156" spans="2:4" x14ac:dyDescent="0.25">
      <c r="B156" s="71">
        <f t="shared" si="9"/>
        <v>4.5499999999999918</v>
      </c>
      <c r="C156" s="4">
        <f t="shared" si="10"/>
        <v>6.2838264124528115E-2</v>
      </c>
      <c r="D156" s="4">
        <f t="shared" si="11"/>
        <v>2.3746288618860643E-10</v>
      </c>
    </row>
    <row r="157" spans="2:4" x14ac:dyDescent="0.25">
      <c r="B157" s="71">
        <f t="shared" si="9"/>
        <v>4.5999999999999917</v>
      </c>
      <c r="C157" s="4">
        <f t="shared" si="10"/>
        <v>6.2324199785972145E-2</v>
      </c>
      <c r="D157" s="4">
        <f t="shared" si="11"/>
        <v>2.744985777937474E-10</v>
      </c>
    </row>
    <row r="158" spans="2:4" x14ac:dyDescent="0.25">
      <c r="B158" s="71">
        <f t="shared" si="9"/>
        <v>4.6499999999999915</v>
      </c>
      <c r="C158" s="4">
        <f t="shared" si="10"/>
        <v>6.1770203417320521E-2</v>
      </c>
      <c r="D158" s="4">
        <f t="shared" si="11"/>
        <v>3.1714409179024423E-10</v>
      </c>
    </row>
    <row r="159" spans="2:4" x14ac:dyDescent="0.25">
      <c r="B159" s="71">
        <f t="shared" si="9"/>
        <v>4.6999999999999913</v>
      </c>
      <c r="C159" s="4">
        <f t="shared" si="10"/>
        <v>6.1177417599067287E-2</v>
      </c>
      <c r="D159" s="4">
        <f t="shared" si="11"/>
        <v>3.6622275171666426E-10</v>
      </c>
    </row>
    <row r="160" spans="2:4" x14ac:dyDescent="0.25">
      <c r="B160" s="71">
        <f t="shared" si="9"/>
        <v>4.7499999999999911</v>
      </c>
      <c r="C160" s="4">
        <f t="shared" si="10"/>
        <v>6.054705705424919E-2</v>
      </c>
      <c r="D160" s="4">
        <f t="shared" si="11"/>
        <v>4.2267463636768965E-10</v>
      </c>
    </row>
    <row r="161" spans="2:4" x14ac:dyDescent="0.25">
      <c r="B161" s="71">
        <f t="shared" si="9"/>
        <v>4.7999999999999909</v>
      </c>
      <c r="C161" s="4">
        <f t="shared" si="10"/>
        <v>5.9880404504162765E-2</v>
      </c>
      <c r="D161" s="4">
        <f t="shared" si="11"/>
        <v>4.8757252373398796E-10</v>
      </c>
    </row>
    <row r="162" spans="2:4" x14ac:dyDescent="0.25">
      <c r="B162" s="71">
        <f t="shared" si="9"/>
        <v>4.8499999999999908</v>
      </c>
      <c r="C162" s="4">
        <f t="shared" si="10"/>
        <v>5.9178806323822379E-2</v>
      </c>
      <c r="D162" s="4">
        <f t="shared" si="11"/>
        <v>5.6213992277208131E-10</v>
      </c>
    </row>
    <row r="163" spans="2:4" x14ac:dyDescent="0.25">
      <c r="B163" s="71">
        <f t="shared" si="9"/>
        <v>4.8999999999999906</v>
      </c>
      <c r="C163" s="4">
        <f t="shared" si="10"/>
        <v>5.8443668017730981E-2</v>
      </c>
      <c r="D163" s="4">
        <f t="shared" si="11"/>
        <v>6.4777145375418276E-10</v>
      </c>
    </row>
    <row r="164" spans="2:4" x14ac:dyDescent="0.25">
      <c r="B164" s="71">
        <f t="shared" si="9"/>
        <v>4.9499999999999904</v>
      </c>
      <c r="C164" s="4">
        <f t="shared" si="10"/>
        <v>5.767644953720924E-2</v>
      </c>
      <c r="D164" s="4">
        <f t="shared" si="11"/>
        <v>7.460558687838616E-10</v>
      </c>
    </row>
    <row r="165" spans="2:4" x14ac:dyDescent="0.25">
      <c r="B165" s="71">
        <f t="shared" si="9"/>
        <v>4.9999999999999902</v>
      </c>
      <c r="C165" s="4">
        <f t="shared" si="10"/>
        <v>5.6878660461074274E-2</v>
      </c>
      <c r="D165" s="4">
        <f t="shared" si="11"/>
        <v>8.588020383175299E-10</v>
      </c>
    </row>
    <row r="166" spans="2:4" x14ac:dyDescent="0.25">
      <c r="B166" s="71">
        <f t="shared" si="9"/>
        <v>5.0499999999999901</v>
      </c>
      <c r="C166" s="4">
        <f t="shared" si="10"/>
        <v>5.6051855061874649E-2</v>
      </c>
      <c r="D166" s="4">
        <f t="shared" si="11"/>
        <v>9.8806826755422134E-10</v>
      </c>
    </row>
    <row r="167" spans="2:4" x14ac:dyDescent="0.25">
      <c r="B167" s="71">
        <f t="shared" si="9"/>
        <v>5.0999999999999899</v>
      </c>
      <c r="C167" s="4">
        <f t="shared" si="10"/>
        <v>5.5197627280173155E-2</v>
      </c>
      <c r="D167" s="4">
        <f t="shared" si="11"/>
        <v>1.1361953487290935E-9</v>
      </c>
    </row>
    <row r="168" spans="2:4" x14ac:dyDescent="0.25">
      <c r="B168" s="71">
        <f t="shared" si="9"/>
        <v>5.1499999999999897</v>
      </c>
      <c r="C168" s="4">
        <f t="shared" si="10"/>
        <v>5.4317605629521627E-2</v>
      </c>
      <c r="D168" s="4">
        <f t="shared" si="11"/>
        <v>1.3058438020865913E-9</v>
      </c>
    </row>
    <row r="169" spans="2:4" x14ac:dyDescent="0.25">
      <c r="B169" s="71">
        <f t="shared" si="9"/>
        <v>5.1999999999999895</v>
      </c>
      <c r="C169" s="4">
        <f t="shared" si="10"/>
        <v>5.3413448054795275E-2</v>
      </c>
      <c r="D169" s="4">
        <f t="shared" si="11"/>
        <v>1.5000358100717489E-9</v>
      </c>
    </row>
    <row r="170" spans="2:4" x14ac:dyDescent="0.25">
      <c r="B170" s="71">
        <f t="shared" si="9"/>
        <v>5.2499999999999893</v>
      </c>
      <c r="C170" s="4">
        <f t="shared" si="10"/>
        <v>5.2486836766447428E-2</v>
      </c>
      <c r="D170" s="4">
        <f t="shared" si="11"/>
        <v>1.7222024065575215E-9</v>
      </c>
    </row>
    <row r="171" spans="2:4" x14ac:dyDescent="0.25">
      <c r="B171" s="71">
        <f t="shared" si="9"/>
        <v>5.2999999999999892</v>
      </c>
      <c r="C171" s="4">
        <f t="shared" si="10"/>
        <v>5.153947307301375E-2</v>
      </c>
      <c r="D171" s="4">
        <f t="shared" si="11"/>
        <v>1.9762365462611485E-9</v>
      </c>
    </row>
    <row r="172" spans="2:4" x14ac:dyDescent="0.25">
      <c r="B172" s="71">
        <f t="shared" si="9"/>
        <v>5.349999999999989</v>
      </c>
      <c r="C172" s="4">
        <f t="shared" si="10"/>
        <v>5.0573072233839458E-2</v>
      </c>
      <c r="D172" s="4">
        <f t="shared" si="11"/>
        <v>2.2665527494776407E-9</v>
      </c>
    </row>
    <row r="173" spans="2:4" x14ac:dyDescent="0.25">
      <c r="B173" s="71">
        <f t="shared" si="9"/>
        <v>5.3999999999999888</v>
      </c>
      <c r="C173" s="4">
        <f t="shared" si="10"/>
        <v>4.9589358353530413E-2</v>
      </c>
      <c r="D173" s="4">
        <f t="shared" si="11"/>
        <v>2.598154094509354E-9</v>
      </c>
    </row>
    <row r="174" spans="2:4" x14ac:dyDescent="0.25">
      <c r="B174" s="71">
        <f t="shared" si="9"/>
        <v>5.4499999999999886</v>
      </c>
      <c r="C174" s="4">
        <f t="shared" si="10"/>
        <v>4.8590059339040932E-2</v>
      </c>
      <c r="D174" s="4">
        <f t="shared" si="11"/>
        <v>2.9767074153845558E-9</v>
      </c>
    </row>
    <row r="175" spans="2:4" x14ac:dyDescent="0.25">
      <c r="B175" s="71">
        <f t="shared" si="9"/>
        <v>5.4999999999999885</v>
      </c>
      <c r="C175" s="4">
        <f t="shared" si="10"/>
        <v>4.7576901939617423E-2</v>
      </c>
      <c r="D175" s="4">
        <f t="shared" si="11"/>
        <v>3.4086276563820373E-9</v>
      </c>
    </row>
    <row r="176" spans="2:4" x14ac:dyDescent="0.25">
      <c r="B176" s="71">
        <f t="shared" si="9"/>
        <v>5.5499999999999883</v>
      </c>
      <c r="C176" s="4">
        <f t="shared" si="10"/>
        <v>4.6551606889020297E-2</v>
      </c>
      <c r="D176" s="4">
        <f t="shared" si="11"/>
        <v>3.901172438318136E-9</v>
      </c>
    </row>
    <row r="177" spans="2:4" x14ac:dyDescent="0.25">
      <c r="B177" s="71">
        <f t="shared" si="9"/>
        <v>5.5999999999999881</v>
      </c>
      <c r="C177" s="4">
        <f t="shared" si="10"/>
        <v>4.551588416855698E-2</v>
      </c>
      <c r="D177" s="4">
        <f t="shared" si="11"/>
        <v>4.4625480053798312E-9</v>
      </c>
    </row>
    <row r="178" spans="2:4" x14ac:dyDescent="0.25">
      <c r="B178" s="71">
        <f t="shared" si="9"/>
        <v>5.6499999999999879</v>
      </c>
      <c r="C178" s="4">
        <f t="shared" si="10"/>
        <v>4.447142840848084E-2</v>
      </c>
      <c r="D178" s="4">
        <f t="shared" si="11"/>
        <v>5.1020278464424018E-9</v>
      </c>
    </row>
    <row r="179" spans="2:4" x14ac:dyDescent="0.25">
      <c r="B179" s="71">
        <f t="shared" si="9"/>
        <v>5.6999999999999877</v>
      </c>
      <c r="C179" s="4">
        <f t="shared" si="10"/>
        <v>4.3419914444255941E-2</v>
      </c>
      <c r="D179" s="4">
        <f t="shared" si="11"/>
        <v>5.8300854223083819E-9</v>
      </c>
    </row>
    <row r="180" spans="2:4" x14ac:dyDescent="0.25">
      <c r="B180" s="71">
        <f t="shared" si="9"/>
        <v>5.7499999999999876</v>
      </c>
      <c r="C180" s="4">
        <f t="shared" si="10"/>
        <v>4.2362993043060473E-2</v>
      </c>
      <c r="D180" s="4">
        <f t="shared" si="11"/>
        <v>6.6585425812351547E-9</v>
      </c>
    </row>
    <row r="181" spans="2:4" x14ac:dyDescent="0.25">
      <c r="B181" s="71">
        <f t="shared" si="9"/>
        <v>5.7999999999999874</v>
      </c>
      <c r="C181" s="4">
        <f t="shared" si="10"/>
        <v>4.1302286814714033E-2</v>
      </c>
      <c r="D181" s="4">
        <f t="shared" si="11"/>
        <v>7.6007354106594495E-9</v>
      </c>
    </row>
    <row r="182" spans="2:4" x14ac:dyDescent="0.25">
      <c r="B182" s="71">
        <f t="shared" si="9"/>
        <v>5.8499999999999872</v>
      </c>
      <c r="C182" s="4">
        <f t="shared" si="10"/>
        <v>4.0239386319972828E-2</v>
      </c>
      <c r="D182" s="4">
        <f t="shared" si="11"/>
        <v>8.6716994544354392E-9</v>
      </c>
    </row>
    <row r="183" spans="2:4" x14ac:dyDescent="0.25">
      <c r="B183" s="71">
        <f t="shared" si="9"/>
        <v>5.899999999999987</v>
      </c>
      <c r="C183" s="4">
        <f t="shared" si="10"/>
        <v>3.9175846387852729E-2</v>
      </c>
      <c r="D183" s="4">
        <f t="shared" si="11"/>
        <v>9.8883764235349955E-9</v>
      </c>
    </row>
    <row r="184" spans="2:4" x14ac:dyDescent="0.25">
      <c r="B184" s="71">
        <f t="shared" si="9"/>
        <v>5.9499999999999869</v>
      </c>
      <c r="C184" s="4">
        <f t="shared" si="10"/>
        <v>3.8113182652320519E-2</v>
      </c>
      <c r="D184" s="4">
        <f t="shared" si="11"/>
        <v>1.1269844745462231E-8</v>
      </c>
    </row>
    <row r="185" spans="2:4" x14ac:dyDescent="0.25">
      <c r="B185" s="71">
        <f t="shared" si="9"/>
        <v>5.9999999999999867</v>
      </c>
      <c r="C185" s="4">
        <f t="shared" si="10"/>
        <v>3.7052868317349948E-2</v>
      </c>
      <c r="D185" s="4">
        <f t="shared" si="11"/>
        <v>1.2837576535157887E-8</v>
      </c>
    </row>
    <row r="186" spans="2:4" x14ac:dyDescent="0.25">
      <c r="B186" s="71">
        <f t="shared" si="9"/>
        <v>6.0499999999999865</v>
      </c>
      <c r="C186" s="4">
        <f t="shared" si="10"/>
        <v>3.599633115797822E-2</v>
      </c>
      <c r="D186" s="4">
        <f t="shared" si="11"/>
        <v>1.4615723829572573E-8</v>
      </c>
    </row>
    <row r="187" spans="2:4" x14ac:dyDescent="0.25">
      <c r="B187" s="71">
        <f t="shared" si="9"/>
        <v>6.0999999999999863</v>
      </c>
      <c r="C187" s="4">
        <f t="shared" si="10"/>
        <v>3.494495076363166E-2</v>
      </c>
      <c r="D187" s="4">
        <f t="shared" si="11"/>
        <v>1.6631437211135408E-8</v>
      </c>
    </row>
    <row r="188" spans="2:4" x14ac:dyDescent="0.25">
      <c r="B188" s="71">
        <f t="shared" si="9"/>
        <v>6.1499999999999861</v>
      </c>
      <c r="C188" s="4">
        <f t="shared" si="10"/>
        <v>3.3900056028622935E-2</v>
      </c>
      <c r="D188" s="4">
        <f t="shared" si="11"/>
        <v>1.8915220253919773E-8</v>
      </c>
    </row>
    <row r="189" spans="2:4" x14ac:dyDescent="0.25">
      <c r="B189" s="71">
        <f t="shared" si="9"/>
        <v>6.199999999999986</v>
      </c>
      <c r="C189" s="4">
        <f t="shared" si="10"/>
        <v>3.2862922893367459E-2</v>
      </c>
      <c r="D189" s="4">
        <f t="shared" si="11"/>
        <v>2.1501323562412181E-8</v>
      </c>
    </row>
    <row r="190" spans="2:4" x14ac:dyDescent="0.25">
      <c r="B190" s="71">
        <f t="shared" si="9"/>
        <v>6.2499999999999858</v>
      </c>
      <c r="C190" s="4">
        <f t="shared" si="10"/>
        <v>3.1834772338529563E-2</v>
      </c>
      <c r="D190" s="4">
        <f t="shared" si="11"/>
        <v>2.4428182538551982E-8</v>
      </c>
    </row>
    <row r="191" spans="2:4" x14ac:dyDescent="0.25">
      <c r="B191" s="71">
        <f t="shared" si="9"/>
        <v>6.2999999999999856</v>
      </c>
      <c r="C191" s="4">
        <f t="shared" si="10"/>
        <v>3.0816768632999043E-2</v>
      </c>
      <c r="D191" s="4">
        <f t="shared" si="11"/>
        <v>2.7738903410380611E-8</v>
      </c>
    </row>
    <row r="192" spans="2:4" x14ac:dyDescent="0.25">
      <c r="B192" s="71">
        <f t="shared" si="9"/>
        <v>6.3499999999999854</v>
      </c>
      <c r="C192" s="4">
        <f t="shared" si="10"/>
        <v>2.9810017835322826E-2</v>
      </c>
      <c r="D192" s="4">
        <f t="shared" si="11"/>
        <v>3.148180248761321E-8</v>
      </c>
    </row>
    <row r="193" spans="2:4" x14ac:dyDescent="0.25">
      <c r="B193" s="71">
        <f t="shared" si="9"/>
        <v>6.3999999999999853</v>
      </c>
      <c r="C193" s="4">
        <f t="shared" si="10"/>
        <v>2.8815566546981475E-2</v>
      </c>
      <c r="D193" s="4">
        <f t="shared" si="11"/>
        <v>3.5711004078235129E-8</v>
      </c>
    </row>
    <row r="194" spans="2:4" x14ac:dyDescent="0.25">
      <c r="B194" s="71">
        <f t="shared" ref="B194:B257" si="12">B193+$A$65</f>
        <v>6.4499999999999851</v>
      </c>
      <c r="C194" s="4">
        <f t="shared" ref="C194:C257" si="13">_xlfn.NORM.DIST(B194,$C$57,C$58,FALSE)*C$59</f>
        <v>2.7834400914713057E-2</v>
      </c>
      <c r="D194" s="4">
        <f t="shared" ref="D194:D257" si="14">_xlfn.NORM.DIST(B194,$D$57,D$58,FALSE)*D$59</f>
        <v>4.0487103008505396E-8</v>
      </c>
    </row>
    <row r="195" spans="2:4" x14ac:dyDescent="0.25">
      <c r="B195" s="71">
        <f t="shared" si="12"/>
        <v>6.4999999999999849</v>
      </c>
      <c r="C195" s="4">
        <f t="shared" si="13"/>
        <v>2.6867445877953623E-2</v>
      </c>
      <c r="D195" s="4">
        <f t="shared" si="14"/>
        <v>4.5877898239312546E-8</v>
      </c>
    </row>
    <row r="196" spans="2:4" x14ac:dyDescent="0.25">
      <c r="B196" s="71">
        <f t="shared" si="12"/>
        <v>6.5499999999999847</v>
      </c>
      <c r="C196" s="4">
        <f t="shared" si="13"/>
        <v>2.5915564656388744E-2</v>
      </c>
      <c r="D196" s="4">
        <f t="shared" si="14"/>
        <v>5.1959204667632581E-8</v>
      </c>
    </row>
    <row r="197" spans="2:4" x14ac:dyDescent="0.25">
      <c r="B197" s="71">
        <f t="shared" si="12"/>
        <v>6.5999999999999845</v>
      </c>
      <c r="C197" s="4">
        <f t="shared" si="13"/>
        <v>2.4979558471600122E-2</v>
      </c>
      <c r="D197" s="4">
        <f t="shared" si="14"/>
        <v>5.8815750845958322E-8</v>
      </c>
    </row>
    <row r="198" spans="2:4" x14ac:dyDescent="0.25">
      <c r="B198" s="71">
        <f t="shared" si="12"/>
        <v>6.6499999999999844</v>
      </c>
      <c r="C198" s="4">
        <f t="shared" si="13"/>
        <v>2.4060166495849234E-2</v>
      </c>
      <c r="D198" s="4">
        <f t="shared" si="14"/>
        <v>6.6542171048268304E-8</v>
      </c>
    </row>
    <row r="199" spans="2:4" x14ac:dyDescent="0.25">
      <c r="B199" s="71">
        <f t="shared" si="12"/>
        <v>6.6999999999999842</v>
      </c>
      <c r="C199" s="4">
        <f t="shared" si="13"/>
        <v>2.3158066020168747E-2</v>
      </c>
      <c r="D199" s="4">
        <f t="shared" si="14"/>
        <v>7.5244100861731365E-8</v>
      </c>
    </row>
    <row r="200" spans="2:4" x14ac:dyDescent="0.25">
      <c r="B200" s="71">
        <f t="shared" si="12"/>
        <v>6.749999999999984</v>
      </c>
      <c r="C200" s="4">
        <f t="shared" si="13"/>
        <v>2.2273872833137132E-2</v>
      </c>
      <c r="D200" s="4">
        <f t="shared" si="14"/>
        <v>8.5039386292460884E-8</v>
      </c>
    </row>
    <row r="201" spans="2:4" x14ac:dyDescent="0.25">
      <c r="B201" s="71">
        <f t="shared" si="12"/>
        <v>6.7999999999999838</v>
      </c>
      <c r="C201" s="4">
        <f t="shared" si="13"/>
        <v>2.1408141800992608E-2</v>
      </c>
      <c r="D201" s="4">
        <f t="shared" si="14"/>
        <v>9.605941724486721E-8</v>
      </c>
    </row>
    <row r="202" spans="2:4" x14ac:dyDescent="0.25">
      <c r="B202" s="71">
        <f t="shared" si="12"/>
        <v>6.8499999999999837</v>
      </c>
      <c r="C202" s="4">
        <f t="shared" si="13"/>
        <v>2.0561367639102754E-2</v>
      </c>
      <c r="D202" s="4">
        <f t="shared" si="14"/>
        <v>1.084505971713454E-7</v>
      </c>
    </row>
    <row r="203" spans="2:4" x14ac:dyDescent="0.25">
      <c r="B203" s="71">
        <f t="shared" si="12"/>
        <v>6.8999999999999835</v>
      </c>
      <c r="C203" s="4">
        <f t="shared" si="13"/>
        <v>1.9733985864246028E-2</v>
      </c>
      <c r="D203" s="4">
        <f t="shared" si="14"/>
        <v>1.2237596169609149E-7</v>
      </c>
    </row>
    <row r="204" spans="2:4" x14ac:dyDescent="0.25">
      <c r="B204" s="71">
        <f t="shared" si="12"/>
        <v>6.9499999999999833</v>
      </c>
      <c r="C204" s="4">
        <f t="shared" si="13"/>
        <v>1.8926373916681512E-2</v>
      </c>
      <c r="D204" s="4">
        <f t="shared" si="14"/>
        <v>1.3801696009784175E-7</v>
      </c>
    </row>
    <row r="205" spans="2:4" x14ac:dyDescent="0.25">
      <c r="B205" s="71">
        <f t="shared" si="12"/>
        <v>6.9999999999999831</v>
      </c>
      <c r="C205" s="4">
        <f t="shared" si="13"/>
        <v>1.8138852440583948E-2</v>
      </c>
      <c r="D205" s="4">
        <f t="shared" si="14"/>
        <v>1.5557541469540519E-7</v>
      </c>
    </row>
    <row r="206" spans="2:4" x14ac:dyDescent="0.25">
      <c r="B206" s="71">
        <f t="shared" si="12"/>
        <v>7.0499999999999829</v>
      </c>
      <c r="C206" s="4">
        <f t="shared" si="13"/>
        <v>1.7371686711101505E-2</v>
      </c>
      <c r="D206" s="4">
        <f t="shared" si="14"/>
        <v>1.7527567442137326E-7</v>
      </c>
    </row>
    <row r="207" spans="2:4" x14ac:dyDescent="0.25">
      <c r="B207" s="71">
        <f t="shared" si="12"/>
        <v>7.0999999999999828</v>
      </c>
      <c r="C207" s="4">
        <f t="shared" si="13"/>
        <v>1.6625088196052389E-2</v>
      </c>
      <c r="D207" s="4">
        <f t="shared" si="14"/>
        <v>1.9736698019761602E-7</v>
      </c>
    </row>
    <row r="208" spans="2:4" x14ac:dyDescent="0.25">
      <c r="B208" s="71">
        <f t="shared" si="12"/>
        <v>7.1499999999999826</v>
      </c>
      <c r="C208" s="4">
        <f t="shared" si="13"/>
        <v>1.5899216240112202E-2</v>
      </c>
      <c r="D208" s="4">
        <f t="shared" si="14"/>
        <v>2.2212606114564887E-7</v>
      </c>
    </row>
    <row r="209" spans="2:4" x14ac:dyDescent="0.25">
      <c r="B209" s="71">
        <f t="shared" si="12"/>
        <v>7.1999999999999824</v>
      </c>
      <c r="C209" s="4">
        <f t="shared" si="13"/>
        <v>1.5194179859254519E-2</v>
      </c>
      <c r="D209" s="4">
        <f t="shared" si="14"/>
        <v>2.4985998218013059E-7</v>
      </c>
    </row>
    <row r="210" spans="2:4" x14ac:dyDescent="0.25">
      <c r="B210" s="71">
        <f t="shared" si="12"/>
        <v>7.2499999999999822</v>
      </c>
      <c r="C210" s="4">
        <f t="shared" si="13"/>
        <v>1.4510039633189543E-2</v>
      </c>
      <c r="D210" s="4">
        <f t="shared" si="14"/>
        <v>2.8090926514920483E-7</v>
      </c>
    </row>
    <row r="211" spans="2:4" x14ac:dyDescent="0.25">
      <c r="B211" s="71">
        <f t="shared" si="12"/>
        <v>7.2999999999999821</v>
      </c>
      <c r="C211" s="4">
        <f t="shared" si="13"/>
        <v>1.384680968359756E-2</v>
      </c>
      <c r="D211" s="4">
        <f t="shared" si="14"/>
        <v>3.1565130740571303E-7</v>
      </c>
    </row>
    <row r="212" spans="2:4" x14ac:dyDescent="0.25">
      <c r="B212" s="71">
        <f t="shared" si="12"/>
        <v>7.3499999999999819</v>
      </c>
      <c r="C212" s="4">
        <f t="shared" si="13"/>
        <v>1.3204459726071765E-2</v>
      </c>
      <c r="D212" s="4">
        <f t="shared" si="14"/>
        <v>3.5450412352301842E-7</v>
      </c>
    </row>
    <row r="213" spans="2:4" x14ac:dyDescent="0.25">
      <c r="B213" s="71">
        <f t="shared" si="12"/>
        <v>7.3999999999999817</v>
      </c>
      <c r="C213" s="4">
        <f t="shared" si="13"/>
        <v>1.2582917183864497E-2</v>
      </c>
      <c r="D213" s="4">
        <f t="shared" si="14"/>
        <v>3.9793043781283274E-7</v>
      </c>
    </row>
    <row r="214" spans="2:4" x14ac:dyDescent="0.25">
      <c r="B214" s="71">
        <f t="shared" si="12"/>
        <v>7.4499999999999815</v>
      </c>
      <c r="C214" s="4">
        <f t="shared" si="13"/>
        <v>1.1982069351769688E-2</v>
      </c>
      <c r="D214" s="4">
        <f t="shared" si="14"/>
        <v>4.4644215736444118E-7</v>
      </c>
    </row>
    <row r="215" spans="2:4" x14ac:dyDescent="0.25">
      <c r="B215" s="71">
        <f t="shared" si="12"/>
        <v>7.4999999999999813</v>
      </c>
      <c r="C215" s="4">
        <f t="shared" si="13"/>
        <v>1.1401765598766279E-2</v>
      </c>
      <c r="D215" s="4">
        <f t="shared" si="14"/>
        <v>5.0060525750957283E-7</v>
      </c>
    </row>
    <row r="216" spans="2:4" x14ac:dyDescent="0.25">
      <c r="B216" s="71">
        <f t="shared" si="12"/>
        <v>7.5499999999999812</v>
      </c>
      <c r="C216" s="4">
        <f t="shared" si="13"/>
        <v>1.0841819598389877E-2</v>
      </c>
      <c r="D216" s="4">
        <f t="shared" si="14"/>
        <v>5.6104511392883671E-7</v>
      </c>
    </row>
    <row r="217" spans="2:4" x14ac:dyDescent="0.25">
      <c r="B217" s="71">
        <f t="shared" si="12"/>
        <v>7.599999999999981</v>
      </c>
      <c r="C217" s="4">
        <f t="shared" si="13"/>
        <v>1.03020115761875E-2</v>
      </c>
      <c r="D217" s="4">
        <f t="shared" si="14"/>
        <v>6.2845231805840486E-7</v>
      </c>
    </row>
    <row r="218" spans="2:4" x14ac:dyDescent="0.25">
      <c r="B218" s="71">
        <f t="shared" si="12"/>
        <v>7.6499999999999808</v>
      </c>
      <c r="C218" s="4">
        <f t="shared" si="13"/>
        <v>9.7820905640387552E-3</v>
      </c>
      <c r="D218" s="4">
        <f t="shared" si="14"/>
        <v>7.0358901503304031E-7</v>
      </c>
    </row>
    <row r="219" spans="2:4" x14ac:dyDescent="0.25">
      <c r="B219" s="71">
        <f t="shared" si="12"/>
        <v>7.6999999999999806</v>
      </c>
      <c r="C219" s="4">
        <f t="shared" si="13"/>
        <v>9.2817766515913142E-3</v>
      </c>
      <c r="D219" s="4">
        <f t="shared" si="14"/>
        <v>7.8729580611733894E-7</v>
      </c>
    </row>
    <row r="220" spans="2:4" x14ac:dyDescent="0.25">
      <c r="B220" s="71">
        <f t="shared" si="12"/>
        <v>7.7499999999999805</v>
      </c>
      <c r="C220" s="4">
        <f t="shared" si="13"/>
        <v>8.8007632255547967E-3</v>
      </c>
      <c r="D220" s="4">
        <f t="shared" si="14"/>
        <v>8.804992604341831E-7</v>
      </c>
    </row>
    <row r="221" spans="2:4" x14ac:dyDescent="0.25">
      <c r="B221" s="71">
        <f t="shared" si="12"/>
        <v>7.7999999999999803</v>
      </c>
      <c r="C221" s="4">
        <f t="shared" si="13"/>
        <v>8.3387191881199776E-3</v>
      </c>
      <c r="D221" s="4">
        <f t="shared" si="14"/>
        <v>9.8422008380068705E-7</v>
      </c>
    </row>
    <row r="222" spans="2:4" x14ac:dyDescent="0.25">
      <c r="B222" s="71">
        <f t="shared" si="12"/>
        <v>7.8499999999999801</v>
      </c>
      <c r="C222" s="4">
        <f t="shared" si="13"/>
        <v>7.8952911463153752E-3</v>
      </c>
      <c r="D222" s="4">
        <f t="shared" si="14"/>
        <v>1.0995819956296589E-6</v>
      </c>
    </row>
    <row r="223" spans="2:4" x14ac:dyDescent="0.25">
      <c r="B223" s="71">
        <f t="shared" si="12"/>
        <v>7.8999999999999799</v>
      </c>
      <c r="C223" s="4">
        <f t="shared" si="13"/>
        <v>7.4701055646761872E-3</v>
      </c>
      <c r="D223" s="4">
        <f t="shared" si="14"/>
        <v>1.2278213681504906E-6</v>
      </c>
    </row>
    <row r="224" spans="2:4" x14ac:dyDescent="0.25">
      <c r="B224" s="71">
        <f t="shared" si="12"/>
        <v>7.9499999999999797</v>
      </c>
      <c r="C224" s="4">
        <f t="shared" si="13"/>
        <v>7.0627708741763913E-3</v>
      </c>
      <c r="D224" s="4">
        <f t="shared" si="14"/>
        <v>1.3702976856487093E-6</v>
      </c>
    </row>
    <row r="225" spans="2:4" x14ac:dyDescent="0.25">
      <c r="B225" s="71">
        <f t="shared" si="12"/>
        <v>7.9999999999999796</v>
      </c>
      <c r="C225" s="4">
        <f t="shared" si="13"/>
        <v>6.6728795309599362E-3</v>
      </c>
      <c r="D225" s="4">
        <f t="shared" si="14"/>
        <v>1.5285048850183136E-6</v>
      </c>
    </row>
    <row r="226" spans="2:4" x14ac:dyDescent="0.25">
      <c r="B226" s="71">
        <f t="shared" si="12"/>
        <v>8.0499999999999794</v>
      </c>
      <c r="C226" s="4">
        <f t="shared" si="13"/>
        <v>6.3000100189968301E-3</v>
      </c>
      <c r="D226" s="4">
        <f t="shared" si="14"/>
        <v>1.7040836426652915E-6</v>
      </c>
    </row>
    <row r="227" spans="2:4" x14ac:dyDescent="0.25">
      <c r="B227" s="71">
        <f t="shared" si="12"/>
        <v>8.0999999999999801</v>
      </c>
      <c r="C227" s="4">
        <f t="shared" si="13"/>
        <v>5.9437287913802336E-3</v>
      </c>
      <c r="D227" s="4">
        <f t="shared" si="14"/>
        <v>1.898834676693405E-6</v>
      </c>
    </row>
    <row r="228" spans="2:4" x14ac:dyDescent="0.25">
      <c r="B228" s="71">
        <f t="shared" si="12"/>
        <v>8.1499999999999808</v>
      </c>
      <c r="C228" s="4">
        <f t="shared" si="13"/>
        <v>5.6035921455691072E-3</v>
      </c>
      <c r="D228" s="4">
        <f t="shared" si="14"/>
        <v>2.1147331373417249E-6</v>
      </c>
    </row>
    <row r="229" spans="2:4" x14ac:dyDescent="0.25">
      <c r="B229" s="71">
        <f t="shared" si="12"/>
        <v>8.1999999999999815</v>
      </c>
      <c r="C229" s="4">
        <f t="shared" si="13"/>
        <v>5.2791480284616601E-3</v>
      </c>
      <c r="D229" s="4">
        <f t="shared" si="14"/>
        <v>2.35394416282465E-6</v>
      </c>
    </row>
    <row r="230" spans="2:4" x14ac:dyDescent="0.25">
      <c r="B230" s="71">
        <f t="shared" si="12"/>
        <v>8.2499999999999822</v>
      </c>
      <c r="C230" s="4">
        <f t="shared" si="13"/>
        <v>4.9699377677572829E-3</v>
      </c>
      <c r="D230" s="4">
        <f t="shared" si="14"/>
        <v>2.6188396820447851E-6</v>
      </c>
    </row>
    <row r="231" spans="2:4" x14ac:dyDescent="0.25">
      <c r="B231" s="71">
        <f t="shared" si="12"/>
        <v>8.2999999999999829</v>
      </c>
      <c r="C231" s="4">
        <f t="shared" si="13"/>
        <v>4.6754977266233412E-3</v>
      </c>
      <c r="D231" s="4">
        <f t="shared" si="14"/>
        <v>2.9120165501011615E-6</v>
      </c>
    </row>
    <row r="232" spans="2:4" x14ac:dyDescent="0.25">
      <c r="B232" s="71">
        <f t="shared" si="12"/>
        <v>8.3499999999999837</v>
      </c>
      <c r="C232" s="4">
        <f t="shared" si="13"/>
        <v>4.395360879227068E-3</v>
      </c>
      <c r="D232" s="4">
        <f t="shared" si="14"/>
        <v>3.2363161070933819E-6</v>
      </c>
    </row>
    <row r="233" spans="2:4" x14ac:dyDescent="0.25">
      <c r="B233" s="71">
        <f t="shared" si="12"/>
        <v>8.3999999999999844</v>
      </c>
      <c r="C233" s="4">
        <f t="shared" si="13"/>
        <v>4.1290583052185029E-3</v>
      </c>
      <c r="D233" s="4">
        <f t="shared" si="14"/>
        <v>3.5948452554168573E-6</v>
      </c>
    </row>
    <row r="234" spans="2:4" x14ac:dyDescent="0.25">
      <c r="B234" s="71">
        <f t="shared" si="12"/>
        <v>8.4499999999999851</v>
      </c>
      <c r="C234" s="4">
        <f t="shared" si="13"/>
        <v>3.8761206017558477E-3</v>
      </c>
      <c r="D234" s="4">
        <f t="shared" si="14"/>
        <v>3.9909991555462219E-6</v>
      </c>
    </row>
    <row r="235" spans="2:4" x14ac:dyDescent="0.25">
      <c r="B235" s="71">
        <f t="shared" si="12"/>
        <v>8.4999999999999858</v>
      </c>
      <c r="C235" s="4">
        <f t="shared" si="13"/>
        <v>3.6360792121482616E-3</v>
      </c>
      <c r="D235" s="4">
        <f t="shared" si="14"/>
        <v>4.4284856452005913E-6</v>
      </c>
    </row>
    <row r="236" spans="2:4" x14ac:dyDescent="0.25">
      <c r="B236" s="71">
        <f t="shared" si="12"/>
        <v>8.5499999999999865</v>
      </c>
      <c r="C236" s="4">
        <f t="shared" si="13"/>
        <v>3.4084676706504684E-3</v>
      </c>
      <c r="D236" s="4">
        <f t="shared" si="14"/>
        <v>4.9113514917623826E-6</v>
      </c>
    </row>
    <row r="237" spans="2:4" x14ac:dyDescent="0.25">
      <c r="B237" s="71">
        <f t="shared" si="12"/>
        <v>8.5999999999999872</v>
      </c>
      <c r="C237" s="4">
        <f t="shared" si="13"/>
        <v>3.1928227633780228E-3</v>
      </c>
      <c r="D237" s="4">
        <f t="shared" si="14"/>
        <v>5.4440105928642245E-6</v>
      </c>
    </row>
    <row r="238" spans="2:4" x14ac:dyDescent="0.25">
      <c r="B238" s="71">
        <f t="shared" si="12"/>
        <v>8.6499999999999879</v>
      </c>
      <c r="C238" s="4">
        <f t="shared" si="13"/>
        <v>2.9886856057199265E-3</v>
      </c>
      <c r="D238" s="4">
        <f t="shared" si="14"/>
        <v>6.0312742451500669E-6</v>
      </c>
    </row>
    <row r="239" spans="2:4" x14ac:dyDescent="0.25">
      <c r="B239" s="71">
        <f t="shared" si="12"/>
        <v>8.6999999999999886</v>
      </c>
      <c r="C239" s="4">
        <f t="shared" si="13"/>
        <v>2.7956026370059279E-3</v>
      </c>
      <c r="D239" s="4">
        <f t="shared" si="14"/>
        <v>6.6783836063342548E-6</v>
      </c>
    </row>
    <row r="240" spans="2:4" x14ac:dyDescent="0.25">
      <c r="B240" s="71">
        <f t="shared" si="12"/>
        <v>8.7499999999999893</v>
      </c>
      <c r="C240" s="4">
        <f t="shared" si="13"/>
        <v>2.6131265335382807E-3</v>
      </c>
      <c r="D240" s="4">
        <f t="shared" si="14"/>
        <v>7.3910444808061302E-6</v>
      </c>
    </row>
    <row r="241" spans="2:4" x14ac:dyDescent="0.25">
      <c r="B241" s="71">
        <f t="shared" si="12"/>
        <v>8.7999999999999901</v>
      </c>
      <c r="C241" s="4">
        <f t="shared" si="13"/>
        <v>2.4408170414220837E-3</v>
      </c>
      <c r="D241" s="4">
        <f t="shared" si="14"/>
        <v>8.1754645641311526E-6</v>
      </c>
    </row>
    <row r="242" spans="2:4" x14ac:dyDescent="0.25">
      <c r="B242" s="71">
        <f t="shared" si="12"/>
        <v>8.8499999999999908</v>
      </c>
      <c r="C242" s="4">
        <f t="shared" si="13"/>
        <v>2.2782417309236453E-3</v>
      </c>
      <c r="D242" s="4">
        <f t="shared" si="14"/>
        <v>9.0383932868556195E-6</v>
      </c>
    </row>
    <row r="243" spans="2:4" x14ac:dyDescent="0.25">
      <c r="B243" s="71">
        <f t="shared" si="12"/>
        <v>8.8999999999999915</v>
      </c>
      <c r="C243" s="4">
        <f t="shared" si="13"/>
        <v>2.1249766743533108E-3</v>
      </c>
      <c r="D243" s="4">
        <f t="shared" si="14"/>
        <v>9.9871644030006543E-6</v>
      </c>
    </row>
    <row r="244" spans="2:4" x14ac:dyDescent="0.25">
      <c r="B244" s="71">
        <f t="shared" si="12"/>
        <v>8.9499999999999922</v>
      </c>
      <c r="C244" s="4">
        <f t="shared" si="13"/>
        <v>1.9806070497075806E-3</v>
      </c>
      <c r="D244" s="4">
        <f t="shared" si="14"/>
        <v>1.1029741473499331E-5</v>
      </c>
    </row>
    <row r="245" spans="2:4" x14ac:dyDescent="0.25">
      <c r="B245" s="71">
        <f t="shared" si="12"/>
        <v>8.9999999999999929</v>
      </c>
      <c r="C245" s="4">
        <f t="shared" si="13"/>
        <v>1.8447276725157928E-3</v>
      </c>
      <c r="D245" s="4">
        <f t="shared" si="14"/>
        <v>1.2174766399551993E-5</v>
      </c>
    </row>
    <row r="246" spans="2:4" x14ac:dyDescent="0.25">
      <c r="B246" s="71">
        <f t="shared" si="12"/>
        <v>9.0499999999999936</v>
      </c>
      <c r="C246" s="4">
        <f t="shared" si="13"/>
        <v>1.7169434585194694E-3</v>
      </c>
      <c r="D246" s="4">
        <f t="shared" si="14"/>
        <v>1.3431611165410983E-5</v>
      </c>
    </row>
    <row r="247" spans="2:4" x14ac:dyDescent="0.25">
      <c r="B247" s="71">
        <f t="shared" si="12"/>
        <v>9.0999999999999943</v>
      </c>
      <c r="C247" s="4">
        <f t="shared" si="13"/>
        <v>1.5968698199686226E-3</v>
      </c>
      <c r="D247" s="4">
        <f t="shared" si="14"/>
        <v>1.481043295441464E-5</v>
      </c>
    </row>
    <row r="248" spans="2:4" x14ac:dyDescent="0.25">
      <c r="B248" s="71">
        <f t="shared" si="12"/>
        <v>9.149999999999995</v>
      </c>
      <c r="C248" s="4">
        <f t="shared" si="13"/>
        <v>1.4841329984494169E-3</v>
      </c>
      <c r="D248" s="4">
        <f t="shared" si="14"/>
        <v>1.6322232806125808E-5</v>
      </c>
    </row>
    <row r="249" spans="2:4" x14ac:dyDescent="0.25">
      <c r="B249" s="71">
        <f t="shared" si="12"/>
        <v>9.1999999999999957</v>
      </c>
      <c r="C249" s="4">
        <f t="shared" si="13"/>
        <v>1.378370337262772E-3</v>
      </c>
      <c r="D249" s="4">
        <f t="shared" si="14"/>
        <v>1.7978917986146259E-5</v>
      </c>
    </row>
    <row r="250" spans="2:4" x14ac:dyDescent="0.25">
      <c r="B250" s="71">
        <f t="shared" si="12"/>
        <v>9.2499999999999964</v>
      </c>
      <c r="C250" s="4">
        <f t="shared" si="13"/>
        <v>1.2792304964547665E-3</v>
      </c>
      <c r="D250" s="4">
        <f t="shared" si="14"/>
        <v>1.9793368243518271E-5</v>
      </c>
    </row>
    <row r="251" spans="2:4" x14ac:dyDescent="0.25">
      <c r="B251" s="71">
        <f t="shared" si="12"/>
        <v>9.2999999999999972</v>
      </c>
      <c r="C251" s="4">
        <f t="shared" si="13"/>
        <v>1.1863736136581932E-3</v>
      </c>
      <c r="D251" s="4">
        <f t="shared" si="14"/>
        <v>2.1779506133542188E-5</v>
      </c>
    </row>
    <row r="252" spans="2:4" x14ac:dyDescent="0.25">
      <c r="B252" s="71">
        <f t="shared" si="12"/>
        <v>9.3499999999999979</v>
      </c>
      <c r="C252" s="4">
        <f t="shared" si="13"/>
        <v>1.0994714139415851E-3</v>
      </c>
      <c r="D252" s="4">
        <f t="shared" si="14"/>
        <v>2.3952371586265037E-5</v>
      </c>
    </row>
    <row r="253" spans="2:4" x14ac:dyDescent="0.25">
      <c r="B253" s="71">
        <f t="shared" si="12"/>
        <v>9.3999999999999986</v>
      </c>
      <c r="C253" s="4">
        <f t="shared" si="13"/>
        <v>1.0182072718788475E-3</v>
      </c>
      <c r="D253" s="4">
        <f t="shared" si="14"/>
        <v>2.6328200902778394E-5</v>
      </c>
    </row>
    <row r="254" spans="2:4" x14ac:dyDescent="0.25">
      <c r="B254" s="71">
        <f t="shared" si="12"/>
        <v>9.4499999999999993</v>
      </c>
      <c r="C254" s="4">
        <f t="shared" si="13"/>
        <v>9.4227622905043999E-4</v>
      </c>
      <c r="D254" s="4">
        <f t="shared" si="14"/>
        <v>2.8924510362732771E-5</v>
      </c>
    </row>
    <row r="255" spans="2:4" x14ac:dyDescent="0.25">
      <c r="B255" s="71">
        <f t="shared" si="12"/>
        <v>9.5</v>
      </c>
      <c r="C255" s="4">
        <f t="shared" si="13"/>
        <v>8.7138497016749062E-4</v>
      </c>
      <c r="D255" s="4">
        <f t="shared" si="14"/>
        <v>3.1760184627066274E-5</v>
      </c>
    </row>
    <row r="256" spans="2:4" x14ac:dyDescent="0.25">
      <c r="B256" s="71">
        <f t="shared" si="12"/>
        <v>9.5500000000000007</v>
      </c>
      <c r="C256" s="4">
        <f t="shared" si="13"/>
        <v>8.052517609744706E-4</v>
      </c>
      <c r="D256" s="4">
        <f t="shared" si="14"/>
        <v>3.4855570119782646E-5</v>
      </c>
    </row>
    <row r="257" spans="2:4" x14ac:dyDescent="0.25">
      <c r="B257" s="71">
        <f t="shared" si="12"/>
        <v>9.6000000000000014</v>
      </c>
      <c r="C257" s="4">
        <f t="shared" si="13"/>
        <v>7.4360635103562272E-4</v>
      </c>
      <c r="D257" s="4">
        <f t="shared" si="14"/>
        <v>3.8232573571632629E-5</v>
      </c>
    </row>
    <row r="258" spans="2:4" x14ac:dyDescent="0.25">
      <c r="B258" s="71">
        <f t="shared" ref="B258:B321" si="15">B257+$A$65</f>
        <v>9.6500000000000021</v>
      </c>
      <c r="C258" s="4">
        <f t="shared" ref="C258:C321" si="16">_xlfn.NORM.DIST(B258,$C$57,C$58,FALSE)*C$59</f>
        <v>6.8618984444664892E-4</v>
      </c>
      <c r="D258" s="4">
        <f t="shared" ref="D258:D321" si="17">_xlfn.NORM.DIST(B258,$D$57,D$58,FALSE)*D$59</f>
        <v>4.1914765906661517E-5</v>
      </c>
    </row>
    <row r="259" spans="2:4" x14ac:dyDescent="0.25">
      <c r="B259" s="71">
        <f t="shared" si="15"/>
        <v>9.7000000000000028</v>
      </c>
      <c r="C259" s="4">
        <f t="shared" si="16"/>
        <v>6.3275454143747007E-4</v>
      </c>
      <c r="D259" s="4">
        <f t="shared" si="17"/>
        <v>4.5927491649721507E-5</v>
      </c>
    </row>
    <row r="260" spans="2:4" x14ac:dyDescent="0.25">
      <c r="B260" s="71">
        <f t="shared" si="15"/>
        <v>9.7500000000000036</v>
      </c>
      <c r="C260" s="4">
        <f t="shared" si="16"/>
        <v>5.8306375374575124E-4</v>
      </c>
      <c r="D260" s="4">
        <f t="shared" si="17"/>
        <v>5.0297984029119829E-5</v>
      </c>
    </row>
    <row r="261" spans="2:4" x14ac:dyDescent="0.25">
      <c r="B261" s="71">
        <f t="shared" si="15"/>
        <v>9.8000000000000043</v>
      </c>
      <c r="C261" s="4">
        <f t="shared" si="16"/>
        <v>5.3689159654546608E-4</v>
      </c>
      <c r="D261" s="4">
        <f t="shared" si="17"/>
        <v>5.5055485943495228E-5</v>
      </c>
    </row>
    <row r="262" spans="2:4" x14ac:dyDescent="0.25">
      <c r="B262" s="71">
        <f t="shared" si="15"/>
        <v>9.850000000000005</v>
      </c>
      <c r="C262" s="4">
        <f t="shared" si="16"/>
        <v>4.9402275961148677E-4</v>
      </c>
      <c r="D262" s="4">
        <f t="shared" si="17"/>
        <v>6.0231376955714195E-5</v>
      </c>
    </row>
    <row r="263" spans="2:4" x14ac:dyDescent="0.25">
      <c r="B263" s="71">
        <f t="shared" si="15"/>
        <v>9.9000000000000057</v>
      </c>
      <c r="C263" s="4">
        <f t="shared" si="16"/>
        <v>4.5425226029123641E-4</v>
      </c>
      <c r="D263" s="4">
        <f t="shared" si="17"/>
        <v>6.585930646895142E-5</v>
      </c>
    </row>
    <row r="264" spans="2:4" x14ac:dyDescent="0.25">
      <c r="B264" s="71">
        <f t="shared" si="15"/>
        <v>9.9500000000000064</v>
      </c>
      <c r="C264" s="4">
        <f t="shared" si="16"/>
        <v>4.1738518073901966E-4</v>
      </c>
      <c r="D264" s="4">
        <f t="shared" si="17"/>
        <v>7.1975333231087717E-5</v>
      </c>
    </row>
    <row r="265" spans="2:4" x14ac:dyDescent="0.25">
      <c r="B265" s="71">
        <f t="shared" si="15"/>
        <v>10.000000000000007</v>
      </c>
      <c r="C265" s="4">
        <f t="shared" si="16"/>
        <v>3.8323639174889977E-4</v>
      </c>
      <c r="D265" s="4">
        <f t="shared" si="17"/>
        <v>7.8618071303036404E-5</v>
      </c>
    </row>
    <row r="266" spans="2:4" x14ac:dyDescent="0.25">
      <c r="B266" s="71">
        <f t="shared" si="15"/>
        <v>10.050000000000008</v>
      </c>
      <c r="C266" s="4">
        <f t="shared" si="16"/>
        <v>3.5163026539903708E-4</v>
      </c>
      <c r="D266" s="4">
        <f t="shared" si="17"/>
        <v>8.5828842614496235E-5</v>
      </c>
    </row>
    <row r="267" spans="2:4" x14ac:dyDescent="0.25">
      <c r="B267" s="71">
        <f t="shared" si="15"/>
        <v>10.100000000000009</v>
      </c>
      <c r="C267" s="4">
        <f t="shared" si="16"/>
        <v>3.2240037859518198E-4</v>
      </c>
      <c r="D267" s="4">
        <f t="shared" si="17"/>
        <v>9.365183621684497E-5</v>
      </c>
    </row>
    <row r="268" spans="2:4" x14ac:dyDescent="0.25">
      <c r="B268" s="71">
        <f t="shared" si="15"/>
        <v>10.150000000000009</v>
      </c>
      <c r="C268" s="4">
        <f t="shared" si="16"/>
        <v>2.9538920947455501E-4</v>
      </c>
      <c r="D268" s="4">
        <f t="shared" si="17"/>
        <v>1.0213427432734939E-4</v>
      </c>
    </row>
    <row r="269" spans="2:4" x14ac:dyDescent="0.25">
      <c r="B269" s="71">
        <f t="shared" si="15"/>
        <v>10.20000000000001</v>
      </c>
      <c r="C269" s="4">
        <f t="shared" si="16"/>
        <v>2.7044782850449954E-4</v>
      </c>
      <c r="D269" s="4">
        <f t="shared" si="17"/>
        <v>1.1132658524147206E-4</v>
      </c>
    </row>
    <row r="270" spans="2:4" x14ac:dyDescent="0.25">
      <c r="B270" s="71">
        <f t="shared" si="15"/>
        <v>10.250000000000011</v>
      </c>
      <c r="C270" s="4">
        <f t="shared" si="16"/>
        <v>2.4743558598383937E-4</v>
      </c>
      <c r="D270" s="4">
        <f t="shared" si="17"/>
        <v>1.2128258317073422E-4</v>
      </c>
    </row>
    <row r="271" spans="2:4" x14ac:dyDescent="0.25">
      <c r="B271" s="71">
        <f t="shared" si="15"/>
        <v>10.300000000000011</v>
      </c>
      <c r="C271" s="4">
        <f t="shared" si="16"/>
        <v>2.2621979752961724E-4</v>
      </c>
      <c r="D271" s="4">
        <f t="shared" si="17"/>
        <v>1.3205965504226518E-4</v>
      </c>
    </row>
    <row r="272" spans="2:4" x14ac:dyDescent="0.25">
      <c r="B272" s="71">
        <f t="shared" si="15"/>
        <v>10.350000000000012</v>
      </c>
      <c r="C272" s="4">
        <f t="shared" si="16"/>
        <v>2.0667542900846354E-4</v>
      </c>
      <c r="D272" s="4">
        <f t="shared" si="17"/>
        <v>1.4371895427274108E-4</v>
      </c>
    </row>
    <row r="273" spans="2:4" x14ac:dyDescent="0.25">
      <c r="B273" s="71">
        <f t="shared" si="15"/>
        <v>10.400000000000013</v>
      </c>
      <c r="C273" s="4">
        <f t="shared" si="16"/>
        <v>1.8868478225084968E-4</v>
      </c>
      <c r="D273" s="4">
        <f t="shared" si="17"/>
        <v>1.5632560150382688E-4</v>
      </c>
    </row>
    <row r="274" spans="2:4" x14ac:dyDescent="0.25">
      <c r="B274" s="71">
        <f t="shared" si="15"/>
        <v>10.450000000000014</v>
      </c>
      <c r="C274" s="4">
        <f t="shared" si="16"/>
        <v>1.7213718276848434E-4</v>
      </c>
      <c r="D274" s="4">
        <f t="shared" si="17"/>
        <v>1.6994889225842736E-4</v>
      </c>
    </row>
    <row r="275" spans="2:4" x14ac:dyDescent="0.25">
      <c r="B275" s="71">
        <f t="shared" si="15"/>
        <v>10.500000000000014</v>
      </c>
      <c r="C275" s="4">
        <f t="shared" si="16"/>
        <v>1.5692867058055232E-4</v>
      </c>
      <c r="D275" s="4">
        <f t="shared" si="17"/>
        <v>1.8466251144693281E-4</v>
      </c>
    </row>
    <row r="276" spans="2:4" x14ac:dyDescent="0.25">
      <c r="B276" s="71">
        <f t="shared" si="15"/>
        <v>10.550000000000015</v>
      </c>
      <c r="C276" s="4">
        <f t="shared" si="16"/>
        <v>1.4296169514380134E-4</v>
      </c>
      <c r="D276" s="4">
        <f t="shared" si="17"/>
        <v>2.0054475462019205E-4</v>
      </c>
    </row>
    <row r="277" spans="2:4" x14ac:dyDescent="0.25">
      <c r="B277" s="71">
        <f t="shared" si="15"/>
        <v>10.600000000000016</v>
      </c>
      <c r="C277" s="4">
        <f t="shared" si="16"/>
        <v>1.3014481527498067E-4</v>
      </c>
      <c r="D277" s="4">
        <f t="shared" si="17"/>
        <v>2.1767875583109485E-4</v>
      </c>
    </row>
    <row r="278" spans="2:4" x14ac:dyDescent="0.25">
      <c r="B278" s="71">
        <f t="shared" si="15"/>
        <v>10.650000000000016</v>
      </c>
      <c r="C278" s="4">
        <f t="shared" si="16"/>
        <v>1.1839240485214228E-4</v>
      </c>
      <c r="D278" s="4">
        <f t="shared" si="17"/>
        <v>2.36152721929357E-4</v>
      </c>
    </row>
    <row r="279" spans="2:4" x14ac:dyDescent="0.25">
      <c r="B279" s="71">
        <f t="shared" si="15"/>
        <v>10.700000000000017</v>
      </c>
      <c r="C279" s="4">
        <f t="shared" si="16"/>
        <v>1.0762436498401344E-4</v>
      </c>
      <c r="D279" s="4">
        <f t="shared" si="17"/>
        <v>2.5606017307436377E-4</v>
      </c>
    </row>
    <row r="280" spans="2:4" x14ac:dyDescent="0.25">
      <c r="B280" s="71">
        <f t="shared" si="15"/>
        <v>10.750000000000018</v>
      </c>
      <c r="C280" s="4">
        <f t="shared" si="16"/>
        <v>9.7765843244276119E-5</v>
      </c>
      <c r="D280" s="4">
        <f t="shared" si="17"/>
        <v>2.7750018920869957E-4</v>
      </c>
    </row>
    <row r="281" spans="2:4" x14ac:dyDescent="0.25">
      <c r="B281" s="71">
        <f t="shared" si="15"/>
        <v>10.800000000000018</v>
      </c>
      <c r="C281" s="4">
        <f t="shared" si="16"/>
        <v>8.8746960480216933E-5</v>
      </c>
      <c r="D281" s="4">
        <f t="shared" si="17"/>
        <v>3.0057766219029859E-4</v>
      </c>
    </row>
    <row r="282" spans="2:4" x14ac:dyDescent="0.25">
      <c r="B282" s="71">
        <f t="shared" si="15"/>
        <v>10.850000000000019</v>
      </c>
      <c r="C282" s="4">
        <f t="shared" si="16"/>
        <v>8.0502545622966455E-5</v>
      </c>
      <c r="D282" s="4">
        <f t="shared" si="17"/>
        <v>3.2540355323397094E-4</v>
      </c>
    </row>
    <row r="283" spans="2:4" x14ac:dyDescent="0.25">
      <c r="B283" s="71">
        <f t="shared" si="15"/>
        <v>10.90000000000002</v>
      </c>
      <c r="C283" s="4">
        <f t="shared" si="16"/>
        <v>7.2971878849447742E-5</v>
      </c>
      <c r="D283" s="4">
        <f t="shared" si="17"/>
        <v>3.520951552634376E-4</v>
      </c>
    </row>
    <row r="284" spans="2:4" x14ac:dyDescent="0.25">
      <c r="B284" s="71">
        <f t="shared" si="15"/>
        <v>10.950000000000021</v>
      </c>
      <c r="C284" s="4">
        <f t="shared" si="16"/>
        <v>6.6098443374202414E-5</v>
      </c>
      <c r="D284" s="4">
        <f t="shared" si="17"/>
        <v>3.8077635972297226E-4</v>
      </c>
    </row>
    <row r="285" spans="2:4" x14ac:dyDescent="0.25">
      <c r="B285" s="71">
        <f t="shared" si="15"/>
        <v>11.000000000000021</v>
      </c>
      <c r="C285" s="4">
        <f t="shared" si="16"/>
        <v>5.9829686082445412E-5</v>
      </c>
      <c r="D285" s="4">
        <f t="shared" si="17"/>
        <v>4.1157792734335564E-4</v>
      </c>
    </row>
    <row r="286" spans="2:4" x14ac:dyDescent="0.25">
      <c r="B286" s="71">
        <f t="shared" si="15"/>
        <v>11.050000000000022</v>
      </c>
      <c r="C286" s="4">
        <f t="shared" si="16"/>
        <v>5.411678715392337E-5</v>
      </c>
      <c r="D286" s="4">
        <f t="shared" si="17"/>
        <v>4.4463776230016755E-4</v>
      </c>
    </row>
    <row r="287" spans="2:4" x14ac:dyDescent="0.25">
      <c r="B287" s="71">
        <f t="shared" si="15"/>
        <v>11.100000000000023</v>
      </c>
      <c r="C287" s="4">
        <f t="shared" si="16"/>
        <v>4.8914438770346268E-5</v>
      </c>
      <c r="D287" s="4">
        <f t="shared" si="17"/>
        <v>4.8010118914356906E-4</v>
      </c>
    </row>
    <row r="288" spans="2:4" x14ac:dyDescent="0.25">
      <c r="B288" s="71">
        <f t="shared" si="15"/>
        <v>11.150000000000023</v>
      </c>
      <c r="C288" s="4">
        <f t="shared" si="16"/>
        <v>4.4180632947200085E-5</v>
      </c>
      <c r="D288" s="4">
        <f t="shared" si="17"/>
        <v>5.181212318177774E-4</v>
      </c>
    </row>
    <row r="289" spans="2:4" x14ac:dyDescent="0.25">
      <c r="B289" s="71">
        <f t="shared" si="15"/>
        <v>11.200000000000024</v>
      </c>
      <c r="C289" s="4">
        <f t="shared" si="16"/>
        <v>3.9876458483487499E-5</v>
      </c>
      <c r="D289" s="4">
        <f t="shared" si="17"/>
        <v>5.5885889402549358E-4</v>
      </c>
    </row>
    <row r="290" spans="2:4" x14ac:dyDescent="0.25">
      <c r="B290" s="71">
        <f t="shared" si="15"/>
        <v>11.250000000000025</v>
      </c>
      <c r="C290" s="4">
        <f t="shared" si="16"/>
        <v>3.5965906980229627E-5</v>
      </c>
      <c r="D290" s="4">
        <f t="shared" si="17"/>
        <v>6.0248344012786266E-4</v>
      </c>
    </row>
    <row r="291" spans="2:4" x14ac:dyDescent="0.25">
      <c r="B291" s="71">
        <f t="shared" si="15"/>
        <v>11.300000000000026</v>
      </c>
      <c r="C291" s="4">
        <f t="shared" si="16"/>
        <v>3.2415687840223141E-5</v>
      </c>
      <c r="D291" s="4">
        <f t="shared" si="17"/>
        <v>6.4917267570416205E-4</v>
      </c>
    </row>
    <row r="292" spans="2:4" x14ac:dyDescent="0.25">
      <c r="B292" s="71">
        <f t="shared" si="15"/>
        <v>11.350000000000026</v>
      </c>
      <c r="C292" s="4">
        <f t="shared" si="16"/>
        <v>2.9195052127384272E-5</v>
      </c>
      <c r="D292" s="4">
        <f t="shared" si="17"/>
        <v>6.9911322682762939E-4</v>
      </c>
    </row>
    <row r="293" spans="2:4" x14ac:dyDescent="0.25">
      <c r="B293" s="71">
        <f t="shared" si="15"/>
        <v>11.400000000000027</v>
      </c>
      <c r="C293" s="4">
        <f t="shared" si="16"/>
        <v>2.6275625133842771E-5</v>
      </c>
      <c r="D293" s="4">
        <f t="shared" si="17"/>
        <v>7.5250081704485833E-4</v>
      </c>
    </row>
    <row r="294" spans="2:4" x14ac:dyDescent="0.25">
      <c r="B294" s="71">
        <f t="shared" si="15"/>
        <v>11.450000000000028</v>
      </c>
      <c r="C294" s="4">
        <f t="shared" si="16"/>
        <v>2.363124747655644E-5</v>
      </c>
      <c r="D294" s="4">
        <f t="shared" si="17"/>
        <v>8.0954054097618386E-4</v>
      </c>
    </row>
    <row r="295" spans="2:4" x14ac:dyDescent="0.25">
      <c r="B295" s="71">
        <f t="shared" si="15"/>
        <v>11.500000000000028</v>
      </c>
      <c r="C295" s="4">
        <f t="shared" si="16"/>
        <v>2.1237824522397308E-5</v>
      </c>
      <c r="D295" s="4">
        <f t="shared" si="17"/>
        <v>8.7044713338379652E-4</v>
      </c>
    </row>
    <row r="296" spans="2:4" x14ac:dyDescent="0.25">
      <c r="B296" s="71">
        <f t="shared" si="15"/>
        <v>11.550000000000029</v>
      </c>
      <c r="C296" s="4">
        <f t="shared" si="16"/>
        <v>1.907318392119433E-5</v>
      </c>
      <c r="D296" s="4">
        <f t="shared" si="17"/>
        <v>9.3544523248323993E-4</v>
      </c>
    </row>
    <row r="297" spans="2:4" x14ac:dyDescent="0.25">
      <c r="B297" s="71">
        <f t="shared" si="15"/>
        <v>11.60000000000003</v>
      </c>
      <c r="C297" s="4">
        <f t="shared" si="16"/>
        <v>1.7116941009896578E-5</v>
      </c>
      <c r="D297" s="4">
        <f t="shared" si="17"/>
        <v>1.004769636202714E-3</v>
      </c>
    </row>
    <row r="298" spans="2:4" x14ac:dyDescent="0.25">
      <c r="B298" s="71">
        <f t="shared" si="15"/>
        <v>11.650000000000031</v>
      </c>
      <c r="C298" s="4">
        <f t="shared" si="16"/>
        <v>1.5350371837617111E-5</v>
      </c>
      <c r="D298" s="4">
        <f t="shared" si="17"/>
        <v>1.0786655500236711E-3</v>
      </c>
    </row>
    <row r="299" spans="2:4" x14ac:dyDescent="0.25">
      <c r="B299" s="71">
        <f t="shared" si="15"/>
        <v>11.700000000000031</v>
      </c>
      <c r="C299" s="4">
        <f t="shared" si="16"/>
        <v>1.3756293550633422E-5</v>
      </c>
      <c r="D299" s="4">
        <f t="shared" si="17"/>
        <v>1.1573888249658E-3</v>
      </c>
    </row>
    <row r="300" spans="2:4" x14ac:dyDescent="0.25">
      <c r="B300" s="71">
        <f t="shared" si="15"/>
        <v>11.750000000000032</v>
      </c>
      <c r="C300" s="4">
        <f t="shared" si="16"/>
        <v>1.2318951868233009E-5</v>
      </c>
      <c r="D300" s="4">
        <f t="shared" si="17"/>
        <v>1.2412061842101919E-3</v>
      </c>
    </row>
    <row r="301" spans="2:4" x14ac:dyDescent="0.25">
      <c r="B301" s="71">
        <f t="shared" si="15"/>
        <v>11.800000000000033</v>
      </c>
      <c r="C301" s="4">
        <f t="shared" si="16"/>
        <v>1.1023915374398685E-5</v>
      </c>
      <c r="D301" s="4">
        <f t="shared" si="17"/>
        <v>1.3303954367864721E-3</v>
      </c>
    </row>
    <row r="302" spans="2:4" x14ac:dyDescent="0.25">
      <c r="B302" s="71">
        <f t="shared" si="15"/>
        <v>11.850000000000033</v>
      </c>
      <c r="C302" s="4">
        <f t="shared" si="16"/>
        <v>9.8579763465358769E-6</v>
      </c>
      <c r="D302" s="4">
        <f t="shared" si="17"/>
        <v>1.4252456766835936E-3</v>
      </c>
    </row>
    <row r="303" spans="2:4" x14ac:dyDescent="0.25">
      <c r="B303" s="71">
        <f t="shared" si="15"/>
        <v>11.900000000000034</v>
      </c>
      <c r="C303" s="4">
        <f t="shared" si="16"/>
        <v>8.8090578405458209E-6</v>
      </c>
      <c r="D303" s="4">
        <f t="shared" si="17"/>
        <v>1.5260574656802345E-3</v>
      </c>
    </row>
    <row r="304" spans="2:4" x14ac:dyDescent="0.25">
      <c r="B304" s="71">
        <f t="shared" si="15"/>
        <v>11.950000000000035</v>
      </c>
      <c r="C304" s="4">
        <f t="shared" si="16"/>
        <v>7.8661267513717332E-6</v>
      </c>
      <c r="D304" s="4">
        <f t="shared" si="17"/>
        <v>1.6331429981296631E-3</v>
      </c>
    </row>
    <row r="305" spans="2:4" x14ac:dyDescent="0.25">
      <c r="B305" s="71">
        <f t="shared" si="15"/>
        <v>12.000000000000036</v>
      </c>
      <c r="C305" s="4">
        <f t="shared" si="16"/>
        <v>7.0191125694994687E-6</v>
      </c>
      <c r="D305" s="4">
        <f t="shared" si="17"/>
        <v>1.7468262458762052E-3</v>
      </c>
    </row>
    <row r="306" spans="2:4" x14ac:dyDescent="0.25">
      <c r="B306" s="71">
        <f t="shared" si="15"/>
        <v>12.050000000000036</v>
      </c>
      <c r="C306" s="4">
        <f t="shared" si="16"/>
        <v>6.258831556618721E-6</v>
      </c>
      <c r="D306" s="4">
        <f t="shared" si="17"/>
        <v>1.8674430814265889E-3</v>
      </c>
    </row>
    <row r="307" spans="2:4" x14ac:dyDescent="0.25">
      <c r="B307" s="71">
        <f t="shared" si="15"/>
        <v>12.100000000000037</v>
      </c>
      <c r="C307" s="4">
        <f t="shared" si="16"/>
        <v>5.5769160675783396E-6</v>
      </c>
      <c r="D307" s="4">
        <f t="shared" si="17"/>
        <v>1.9953413774497428E-3</v>
      </c>
    </row>
    <row r="308" spans="2:4" x14ac:dyDescent="0.25">
      <c r="B308" s="71">
        <f t="shared" si="15"/>
        <v>12.150000000000038</v>
      </c>
      <c r="C308" s="4">
        <f t="shared" si="16"/>
        <v>4.9657487507490547E-6</v>
      </c>
      <c r="D308" s="4">
        <f t="shared" si="17"/>
        <v>2.1308810806339252E-3</v>
      </c>
    </row>
    <row r="309" spans="2:4" x14ac:dyDescent="0.25">
      <c r="B309" s="71">
        <f t="shared" si="15"/>
        <v>12.200000000000038</v>
      </c>
      <c r="C309" s="4">
        <f t="shared" si="16"/>
        <v>4.4184013647979179E-6</v>
      </c>
      <c r="D309" s="4">
        <f t="shared" si="17"/>
        <v>2.2744342578908516E-3</v>
      </c>
    </row>
    <row r="310" spans="2:4" x14ac:dyDescent="0.25">
      <c r="B310" s="71">
        <f t="shared" si="15"/>
        <v>12.250000000000039</v>
      </c>
      <c r="C310" s="4">
        <f t="shared" si="16"/>
        <v>3.9285779565427271E-6</v>
      </c>
      <c r="D310" s="4">
        <f t="shared" si="17"/>
        <v>2.4263851128631048E-3</v>
      </c>
    </row>
    <row r="311" spans="2:4" x14ac:dyDescent="0.25">
      <c r="B311" s="71">
        <f t="shared" si="15"/>
        <v>12.30000000000004</v>
      </c>
      <c r="C311" s="4">
        <f t="shared" si="16"/>
        <v>3.4905621518713878E-6</v>
      </c>
      <c r="D311" s="4">
        <f t="shared" si="17"/>
        <v>2.5871299706644413E-3</v>
      </c>
    </row>
    <row r="312" spans="2:4" x14ac:dyDescent="0.25">
      <c r="B312" s="71">
        <f t="shared" si="15"/>
        <v>12.350000000000041</v>
      </c>
      <c r="C312" s="4">
        <f t="shared" si="16"/>
        <v>3.0991683195626055E-6</v>
      </c>
      <c r="D312" s="4">
        <f t="shared" si="17"/>
        <v>2.7570772287631652E-3</v>
      </c>
    </row>
    <row r="313" spans="2:4" x14ac:dyDescent="0.25">
      <c r="B313" s="71">
        <f t="shared" si="15"/>
        <v>12.400000000000041</v>
      </c>
      <c r="C313" s="4">
        <f t="shared" si="16"/>
        <v>2.7496963761239744E-6</v>
      </c>
      <c r="D313" s="4">
        <f t="shared" si="17"/>
        <v>2.9366472719068127E-3</v>
      </c>
    </row>
    <row r="314" spans="2:4" x14ac:dyDescent="0.25">
      <c r="B314" s="71">
        <f t="shared" si="15"/>
        <v>12.450000000000042</v>
      </c>
      <c r="C314" s="4">
        <f t="shared" si="16"/>
        <v>2.4378900083760341E-6</v>
      </c>
      <c r="D314" s="4">
        <f t="shared" si="17"/>
        <v>3.1262723489829778E-3</v>
      </c>
    </row>
    <row r="315" spans="2:4" x14ac:dyDescent="0.25">
      <c r="B315" s="71">
        <f t="shared" si="15"/>
        <v>12.500000000000043</v>
      </c>
      <c r="C315" s="4">
        <f t="shared" si="16"/>
        <v>2.1598980993643727E-6</v>
      </c>
      <c r="D315" s="4">
        <f t="shared" si="17"/>
        <v>3.3263964097165555E-3</v>
      </c>
    </row>
    <row r="316" spans="2:4" x14ac:dyDescent="0.25">
      <c r="B316" s="71">
        <f t="shared" si="15"/>
        <v>12.550000000000043</v>
      </c>
      <c r="C316" s="4">
        <f t="shared" si="16"/>
        <v>1.9122391521980971E-6</v>
      </c>
      <c r="D316" s="4">
        <f t="shared" si="17"/>
        <v>3.5374748991184811E-3</v>
      </c>
    </row>
    <row r="317" spans="2:4" x14ac:dyDescent="0.25">
      <c r="B317" s="71">
        <f t="shared" si="15"/>
        <v>12.600000000000044</v>
      </c>
      <c r="C317" s="4">
        <f t="shared" si="16"/>
        <v>1.6917685155174836E-6</v>
      </c>
      <c r="D317" s="4">
        <f t="shared" si="17"/>
        <v>3.7599745076258738E-3</v>
      </c>
    </row>
    <row r="318" spans="2:4" x14ac:dyDescent="0.25">
      <c r="B318" s="71">
        <f t="shared" si="15"/>
        <v>12.650000000000045</v>
      </c>
      <c r="C318" s="4">
        <f t="shared" si="16"/>
        <v>1.4956482234222796E-6</v>
      </c>
      <c r="D318" s="4">
        <f t="shared" si="17"/>
        <v>3.9943728749089651E-3</v>
      </c>
    </row>
    <row r="319" spans="2:4" x14ac:dyDescent="0.25">
      <c r="B319" s="71">
        <f t="shared" si="15"/>
        <v>12.700000000000045</v>
      </c>
      <c r="C319" s="4">
        <f t="shared" si="16"/>
        <v>1.3213192717867408E-6</v>
      </c>
      <c r="D319" s="4">
        <f t="shared" si="17"/>
        <v>4.2411582453664703E-3</v>
      </c>
    </row>
    <row r="320" spans="2:4" x14ac:dyDescent="0.25">
      <c r="B320" s="71">
        <f t="shared" si="15"/>
        <v>12.750000000000046</v>
      </c>
      <c r="C320" s="4">
        <f t="shared" si="16"/>
        <v>1.1664761618963203E-6</v>
      </c>
      <c r="D320" s="4">
        <f t="shared" si="17"/>
        <v>4.5008290733890488E-3</v>
      </c>
    </row>
    <row r="321" spans="2:4" x14ac:dyDescent="0.25">
      <c r="B321" s="71">
        <f t="shared" si="15"/>
        <v>12.800000000000047</v>
      </c>
      <c r="C321" s="4">
        <f t="shared" si="16"/>
        <v>1.0290435512207441E-6</v>
      </c>
      <c r="D321" s="4">
        <f t="shared" si="17"/>
        <v>4.7738935765402014E-3</v>
      </c>
    </row>
    <row r="322" spans="2:4" x14ac:dyDescent="0.25">
      <c r="B322" s="71">
        <f t="shared" ref="B322:B385" si="18">B321+$A$65</f>
        <v>12.850000000000048</v>
      </c>
      <c r="C322" s="4">
        <f t="shared" ref="C322:C385" si="19">_xlfn.NORM.DIST(B322,$C$57,C$58,FALSE)*C$59</f>
        <v>9.0715485984858007E-7</v>
      </c>
      <c r="D322" s="4">
        <f t="shared" ref="D322:D385" si="20">_xlfn.NORM.DIST(B322,$D$57,D$58,FALSE)*D$59</f>
        <v>5.060869234886343E-3</v>
      </c>
    </row>
    <row r="323" spans="2:4" x14ac:dyDescent="0.25">
      <c r="B323" s="71">
        <f t="shared" si="18"/>
        <v>12.900000000000048</v>
      </c>
      <c r="C323" s="4">
        <f t="shared" si="19"/>
        <v>7.9913268961804129E-7</v>
      </c>
      <c r="D323" s="4">
        <f t="shared" si="20"/>
        <v>5.3622822348025033E-3</v>
      </c>
    </row>
    <row r="324" spans="2:4" x14ac:dyDescent="0.25">
      <c r="B324" s="71">
        <f t="shared" si="18"/>
        <v>12.950000000000049</v>
      </c>
      <c r="C324" s="4">
        <f t="shared" si="19"/>
        <v>7.0347092125823376E-7</v>
      </c>
      <c r="D324" s="4">
        <f t="shared" si="20"/>
        <v>5.6786668556881243E-3</v>
      </c>
    </row>
    <row r="325" spans="2:4" x14ac:dyDescent="0.25">
      <c r="B325" s="71">
        <f t="shared" si="18"/>
        <v>13.00000000000005</v>
      </c>
      <c r="C325" s="4">
        <f t="shared" si="19"/>
        <v>6.1881836288273795E-7</v>
      </c>
      <c r="D325" s="4">
        <f t="shared" si="20"/>
        <v>6.0105647981487436E-3</v>
      </c>
    </row>
    <row r="326" spans="2:4" x14ac:dyDescent="0.25">
      <c r="B326" s="71">
        <f t="shared" si="18"/>
        <v>13.05000000000005</v>
      </c>
      <c r="C326" s="4">
        <f t="shared" si="19"/>
        <v>5.4396383093361632E-7</v>
      </c>
      <c r="D326" s="4">
        <f t="shared" si="20"/>
        <v>6.358524452334046E-3</v>
      </c>
    </row>
    <row r="327" spans="2:4" x14ac:dyDescent="0.25">
      <c r="B327" s="71">
        <f t="shared" si="18"/>
        <v>13.100000000000051</v>
      </c>
      <c r="C327" s="4">
        <f t="shared" si="19"/>
        <v>4.7782255214447044E-7</v>
      </c>
      <c r="D327" s="4">
        <f t="shared" si="20"/>
        <v>6.7231001052711938E-3</v>
      </c>
    </row>
    <row r="328" spans="2:4" x14ac:dyDescent="0.25">
      <c r="B328" s="71">
        <f t="shared" si="18"/>
        <v>13.150000000000052</v>
      </c>
      <c r="C328" s="4">
        <f t="shared" si="19"/>
        <v>4.1942378226538552E-7</v>
      </c>
      <c r="D328" s="4">
        <f t="shared" si="20"/>
        <v>7.1048510861947004E-3</v>
      </c>
    </row>
    <row r="329" spans="2:4" x14ac:dyDescent="0.25">
      <c r="B329" s="71">
        <f t="shared" si="18"/>
        <v>13.200000000000053</v>
      </c>
      <c r="C329" s="4">
        <f t="shared" si="19"/>
        <v>3.6789954416202961E-7</v>
      </c>
      <c r="D329" s="4">
        <f t="shared" si="20"/>
        <v>7.504340849050062E-3</v>
      </c>
    </row>
    <row r="330" spans="2:4" x14ac:dyDescent="0.25">
      <c r="B330" s="71">
        <f t="shared" si="18"/>
        <v>13.250000000000053</v>
      </c>
      <c r="C330" s="4">
        <f t="shared" si="19"/>
        <v>3.2247439446204277E-7</v>
      </c>
      <c r="D330" s="4">
        <f t="shared" si="20"/>
        <v>7.9221359915379579E-3</v>
      </c>
    </row>
    <row r="331" spans="2:4" x14ac:dyDescent="0.25">
      <c r="B331" s="71">
        <f t="shared" si="18"/>
        <v>13.300000000000054</v>
      </c>
      <c r="C331" s="4">
        <f t="shared" si="19"/>
        <v>2.8245613417138707E-7</v>
      </c>
      <c r="D331" s="4">
        <f t="shared" si="20"/>
        <v>8.3588052102694602E-3</v>
      </c>
    </row>
    <row r="332" spans="2:4" x14ac:dyDescent="0.25">
      <c r="B332" s="71">
        <f t="shared" si="18"/>
        <v>13.350000000000055</v>
      </c>
      <c r="C332" s="4">
        <f t="shared" si="19"/>
        <v>2.4722738462211691E-7</v>
      </c>
      <c r="D332" s="4">
        <f t="shared" si="20"/>
        <v>8.8149181918192997E-3</v>
      </c>
    </row>
    <row r="333" spans="2:4" x14ac:dyDescent="0.25">
      <c r="B333" s="71">
        <f t="shared" si="18"/>
        <v>13.400000000000055</v>
      </c>
      <c r="C333" s="4">
        <f t="shared" si="19"/>
        <v>2.162379557434468E-7</v>
      </c>
      <c r="D333" s="4">
        <f t="shared" si="20"/>
        <v>9.2910444396938994E-3</v>
      </c>
    </row>
    <row r="334" spans="2:4" x14ac:dyDescent="0.25">
      <c r="B334" s="71">
        <f t="shared" si="18"/>
        <v>13.450000000000056</v>
      </c>
      <c r="C334" s="4">
        <f t="shared" si="19"/>
        <v>1.8899793897384246E-7</v>
      </c>
      <c r="D334" s="4">
        <f t="shared" si="20"/>
        <v>9.7877520374738871E-3</v>
      </c>
    </row>
    <row r="335" spans="2:4" x14ac:dyDescent="0.25">
      <c r="B335" s="71">
        <f t="shared" si="18"/>
        <v>13.500000000000057</v>
      </c>
      <c r="C335" s="4">
        <f t="shared" si="19"/>
        <v>1.6507146215911463E-7</v>
      </c>
      <c r="D335" s="4">
        <f t="shared" si="20"/>
        <v>1.0305606348645226E-2</v>
      </c>
    </row>
    <row r="336" spans="2:4" x14ac:dyDescent="0.25">
      <c r="B336" s="71">
        <f t="shared" si="18"/>
        <v>13.550000000000058</v>
      </c>
      <c r="C336" s="4">
        <f t="shared" si="19"/>
        <v>1.4407104851676237E-7</v>
      </c>
      <c r="D336" s="4">
        <f t="shared" si="20"/>
        <v>1.0845168653899661E-2</v>
      </c>
    </row>
    <row r="337" spans="2:4" x14ac:dyDescent="0.25">
      <c r="B337" s="71">
        <f t="shared" si="18"/>
        <v>13.600000000000058</v>
      </c>
      <c r="C337" s="4">
        <f t="shared" si="19"/>
        <v>1.2565252619834239E-7</v>
      </c>
      <c r="D337" s="4">
        <f t="shared" si="20"/>
        <v>1.1406994726963023E-2</v>
      </c>
    </row>
    <row r="338" spans="2:4" x14ac:dyDescent="0.25">
      <c r="B338" s="71">
        <f t="shared" si="18"/>
        <v>13.650000000000059</v>
      </c>
      <c r="C338" s="4">
        <f t="shared" si="19"/>
        <v>1.0951043915818491E-7</v>
      </c>
      <c r="D338" s="4">
        <f t="shared" si="20"/>
        <v>1.1991633350297235E-2</v>
      </c>
    </row>
    <row r="339" spans="2:4" x14ac:dyDescent="0.25">
      <c r="B339" s="71">
        <f t="shared" si="18"/>
        <v>13.70000000000006</v>
      </c>
      <c r="C339" s="4">
        <f t="shared" si="19"/>
        <v>9.5373913947982287E-8</v>
      </c>
      <c r="D339" s="4">
        <f t="shared" si="20"/>
        <v>1.2599624772319594E-2</v>
      </c>
    </row>
    <row r="340" spans="2:4" x14ac:dyDescent="0.25">
      <c r="B340" s="71">
        <f t="shared" si="18"/>
        <v>13.75000000000006</v>
      </c>
      <c r="C340" s="4">
        <f t="shared" si="19"/>
        <v>8.3002940712890417E-8</v>
      </c>
      <c r="D340" s="4">
        <f t="shared" si="20"/>
        <v>1.3231499108088143E-2</v>
      </c>
    </row>
    <row r="341" spans="2:4" x14ac:dyDescent="0.25">
      <c r="B341" s="71">
        <f t="shared" si="18"/>
        <v>13.800000000000061</v>
      </c>
      <c r="C341" s="4">
        <f t="shared" si="19"/>
        <v>7.2185030076240017E-8</v>
      </c>
      <c r="D341" s="4">
        <f t="shared" si="20"/>
        <v>1.3887774685715554E-2</v>
      </c>
    </row>
    <row r="342" spans="2:4" x14ac:dyDescent="0.25">
      <c r="B342" s="71">
        <f t="shared" si="18"/>
        <v>13.850000000000062</v>
      </c>
      <c r="C342" s="4">
        <f t="shared" si="19"/>
        <v>6.2732210777757593E-8</v>
      </c>
      <c r="D342" s="4">
        <f t="shared" si="20"/>
        <v>1.4568956341093193E-2</v>
      </c>
    </row>
    <row r="343" spans="2:4" x14ac:dyDescent="0.25">
      <c r="B343" s="71">
        <f t="shared" si="18"/>
        <v>13.900000000000063</v>
      </c>
      <c r="C343" s="4">
        <f t="shared" si="19"/>
        <v>5.4478335885263148E-8</v>
      </c>
      <c r="D343" s="4">
        <f t="shared" si="20"/>
        <v>1.5275533663831505E-2</v>
      </c>
    </row>
    <row r="344" spans="2:4" x14ac:dyDescent="0.25">
      <c r="B344" s="71">
        <f t="shared" si="18"/>
        <v>13.950000000000063</v>
      </c>
      <c r="C344" s="4">
        <f t="shared" si="19"/>
        <v>4.7276668143263097E-8</v>
      </c>
      <c r="D344" s="4">
        <f t="shared" si="20"/>
        <v>1.6007979197651481E-2</v>
      </c>
    </row>
    <row r="345" spans="2:4" x14ac:dyDescent="0.25">
      <c r="B345" s="71">
        <f t="shared" si="18"/>
        <v>14.000000000000064</v>
      </c>
      <c r="C345" s="4">
        <f t="shared" si="19"/>
        <v>4.0997717564770818E-8</v>
      </c>
      <c r="D345" s="4">
        <f t="shared" si="20"/>
        <v>1.6766746598792664E-2</v>
      </c>
    </row>
    <row r="346" spans="2:4" x14ac:dyDescent="0.25">
      <c r="B346" s="71">
        <f t="shared" si="18"/>
        <v>14.050000000000065</v>
      </c>
      <c r="C346" s="4">
        <f t="shared" si="19"/>
        <v>3.5527306725953355E-8</v>
      </c>
      <c r="D346" s="4">
        <f t="shared" si="20"/>
        <v>1.7552268756334408E-2</v>
      </c>
    </row>
    <row r="347" spans="2:4" x14ac:dyDescent="0.25">
      <c r="B347" s="71">
        <f t="shared" si="18"/>
        <v>14.100000000000065</v>
      </c>
      <c r="C347" s="4">
        <f t="shared" si="19"/>
        <v>3.0764841397679411E-8</v>
      </c>
      <c r="D347" s="4">
        <f t="shared" si="20"/>
        <v>1.8364955878658783E-2</v>
      </c>
    </row>
    <row r="348" spans="2:4" x14ac:dyDescent="0.25">
      <c r="B348" s="71">
        <f t="shared" si="18"/>
        <v>14.150000000000066</v>
      </c>
      <c r="C348" s="4">
        <f t="shared" si="19"/>
        <v>2.6621766154201286E-8</v>
      </c>
      <c r="D348" s="4">
        <f t="shared" si="20"/>
        <v>1.9205193550611434E-2</v>
      </c>
    </row>
    <row r="349" spans="2:4" x14ac:dyDescent="0.25">
      <c r="B349" s="71">
        <f t="shared" si="18"/>
        <v>14.200000000000067</v>
      </c>
      <c r="C349" s="4">
        <f t="shared" si="19"/>
        <v>2.3020186447392261E-8</v>
      </c>
      <c r="D349" s="4">
        <f t="shared" si="20"/>
        <v>2.007334076624211E-2</v>
      </c>
    </row>
    <row r="350" spans="2:4" x14ac:dyDescent="0.25">
      <c r="B350" s="71">
        <f t="shared" si="18"/>
        <v>14.250000000000068</v>
      </c>
      <c r="C350" s="4">
        <f t="shared" si="19"/>
        <v>1.9891640335092085E-8</v>
      </c>
      <c r="D350" s="4">
        <f t="shared" si="20"/>
        <v>2.0969727942325E-2</v>
      </c>
    </row>
    <row r="351" spans="2:4" x14ac:dyDescent="0.25">
      <c r="B351" s="71">
        <f t="shared" si="18"/>
        <v>14.300000000000068</v>
      </c>
      <c r="C351" s="4">
        <f t="shared" si="19"/>
        <v>1.7176004613830277E-8</v>
      </c>
      <c r="D351" s="4">
        <f t="shared" si="20"/>
        <v>2.1894654918170824E-2</v>
      </c>
    </row>
    <row r="352" spans="2:4" x14ac:dyDescent="0.25">
      <c r="B352" s="71">
        <f t="shared" si="18"/>
        <v>14.350000000000069</v>
      </c>
      <c r="C352" s="4">
        <f t="shared" si="19"/>
        <v>1.4820521538751177E-8</v>
      </c>
      <c r="D352" s="4">
        <f t="shared" si="20"/>
        <v>2.2848388947544429E-2</v>
      </c>
    </row>
    <row r="353" spans="2:4" x14ac:dyDescent="0.25">
      <c r="B353" s="71">
        <f t="shared" si="18"/>
        <v>14.40000000000007</v>
      </c>
      <c r="C353" s="4">
        <f t="shared" si="19"/>
        <v>1.2778933625801666E-8</v>
      </c>
      <c r="D353" s="4">
        <f t="shared" si="20"/>
        <v>2.3831162688792481E-2</v>
      </c>
    </row>
    <row r="354" spans="2:4" x14ac:dyDescent="0.25">
      <c r="B354" s="71">
        <f t="shared" si="18"/>
        <v>14.45000000000007</v>
      </c>
      <c r="C354" s="4">
        <f t="shared" si="19"/>
        <v>1.1010715231648991E-8</v>
      </c>
      <c r="D354" s="4">
        <f t="shared" si="20"/>
        <v>2.4843172199563366E-2</v>
      </c>
    </row>
    <row r="355" spans="2:4" x14ac:dyDescent="0.25">
      <c r="B355" s="71">
        <f t="shared" si="18"/>
        <v>14.500000000000071</v>
      </c>
      <c r="C355" s="4">
        <f t="shared" si="19"/>
        <v>9.480390703404687E-9</v>
      </c>
      <c r="D355" s="4">
        <f t="shared" si="20"/>
        <v>2.5884574942763965E-2</v>
      </c>
    </row>
    <row r="356" spans="2:4" x14ac:dyDescent="0.25">
      <c r="B356" s="71">
        <f t="shared" si="18"/>
        <v>14.550000000000072</v>
      </c>
      <c r="C356" s="4">
        <f t="shared" si="19"/>
        <v>8.1569298907076307E-9</v>
      </c>
      <c r="D356" s="4">
        <f t="shared" si="20"/>
        <v>2.6955487810643088E-2</v>
      </c>
    </row>
    <row r="357" spans="2:4" x14ac:dyDescent="0.25">
      <c r="B357" s="71">
        <f t="shared" si="18"/>
        <v>14.600000000000072</v>
      </c>
      <c r="C357" s="4">
        <f t="shared" si="19"/>
        <v>7.0132127242853996E-9</v>
      </c>
      <c r="D357" s="4">
        <f t="shared" si="20"/>
        <v>2.8055985174118298E-2</v>
      </c>
    </row>
    <row r="358" spans="2:4" x14ac:dyDescent="0.25">
      <c r="B358" s="71">
        <f t="shared" si="18"/>
        <v>14.650000000000073</v>
      </c>
      <c r="C358" s="4">
        <f t="shared" si="19"/>
        <v>6.0255553946034077E-9</v>
      </c>
      <c r="D358" s="4">
        <f t="shared" si="20"/>
        <v>2.9186096964667899E-2</v>
      </c>
    </row>
    <row r="359" spans="2:4" x14ac:dyDescent="0.25">
      <c r="B359" s="71">
        <f t="shared" si="18"/>
        <v>14.700000000000074</v>
      </c>
      <c r="C359" s="4">
        <f t="shared" si="19"/>
        <v>5.1732914180559677E-9</v>
      </c>
      <c r="D359" s="4">
        <f t="shared" si="20"/>
        <v>3.0345806796292955E-2</v>
      </c>
    </row>
    <row r="360" spans="2:4" x14ac:dyDescent="0.25">
      <c r="B360" s="71">
        <f t="shared" si="18"/>
        <v>14.750000000000075</v>
      </c>
      <c r="C360" s="4">
        <f t="shared" si="19"/>
        <v>4.4384015623826708E-9</v>
      </c>
      <c r="D360" s="4">
        <f t="shared" si="20"/>
        <v>3.1535050135212898E-2</v>
      </c>
    </row>
    <row r="361" spans="2:4" x14ac:dyDescent="0.25">
      <c r="B361" s="71">
        <f t="shared" si="18"/>
        <v>14.800000000000075</v>
      </c>
      <c r="C361" s="4">
        <f t="shared" si="19"/>
        <v>3.8051872232700077E-9</v>
      </c>
      <c r="D361" s="4">
        <f t="shared" si="20"/>
        <v>3.2753712525089317E-2</v>
      </c>
    </row>
    <row r="362" spans="2:4" x14ac:dyDescent="0.25">
      <c r="B362" s="71">
        <f t="shared" si="18"/>
        <v>14.850000000000076</v>
      </c>
      <c r="C362" s="4">
        <f t="shared" si="19"/>
        <v>3.2599824057032628E-9</v>
      </c>
      <c r="D362" s="4">
        <f t="shared" si="20"/>
        <v>3.4001627875677475E-2</v>
      </c>
    </row>
    <row r="363" spans="2:4" x14ac:dyDescent="0.25">
      <c r="B363" s="71">
        <f t="shared" si="18"/>
        <v>14.900000000000077</v>
      </c>
      <c r="C363" s="4">
        <f t="shared" si="19"/>
        <v>2.7908999715006277E-9</v>
      </c>
      <c r="D363" s="4">
        <f t="shared" si="20"/>
        <v>3.5278576822878813E-2</v>
      </c>
    </row>
    <row r="364" spans="2:4" x14ac:dyDescent="0.25">
      <c r="B364" s="71">
        <f t="shared" si="18"/>
        <v>14.950000000000077</v>
      </c>
      <c r="C364" s="4">
        <f t="shared" si="19"/>
        <v>2.3876082731793681E-9</v>
      </c>
      <c r="D364" s="4">
        <f t="shared" si="20"/>
        <v>3.6584285168210773E-2</v>
      </c>
    </row>
    <row r="365" spans="2:4" x14ac:dyDescent="0.25">
      <c r="B365" s="71">
        <f t="shared" si="18"/>
        <v>15.000000000000078</v>
      </c>
      <c r="C365" s="4">
        <f t="shared" si="19"/>
        <v>2.0411347081341217E-9</v>
      </c>
      <c r="D365" s="4">
        <f t="shared" si="20"/>
        <v>3.7918422405721346E-2</v>
      </c>
    </row>
    <row r="366" spans="2:4" x14ac:dyDescent="0.25">
      <c r="B366" s="71">
        <f t="shared" si="18"/>
        <v>15.050000000000079</v>
      </c>
      <c r="C366" s="4">
        <f t="shared" si="19"/>
        <v>1.7436931000044564E-9</v>
      </c>
      <c r="D366" s="4">
        <f t="shared" si="20"/>
        <v>3.9280600344351539E-2</v>
      </c>
    </row>
    <row r="367" spans="2:4" x14ac:dyDescent="0.25">
      <c r="B367" s="71">
        <f t="shared" si="18"/>
        <v>15.10000000000008</v>
      </c>
      <c r="C367" s="4">
        <f t="shared" si="19"/>
        <v>1.4885321497255143E-9</v>
      </c>
      <c r="D367" s="4">
        <f t="shared" si="20"/>
        <v>4.067037183369128E-2</v>
      </c>
    </row>
    <row r="368" spans="2:4" x14ac:dyDescent="0.25">
      <c r="B368" s="71">
        <f t="shared" si="18"/>
        <v>15.15000000000008</v>
      </c>
      <c r="C368" s="4">
        <f t="shared" si="19"/>
        <v>1.2698025004730268E-9</v>
      </c>
      <c r="D368" s="4">
        <f t="shared" si="20"/>
        <v>4.2087229600979305E-2</v>
      </c>
    </row>
    <row r="369" spans="2:4" x14ac:dyDescent="0.25">
      <c r="B369" s="71">
        <f t="shared" si="18"/>
        <v>15.200000000000081</v>
      </c>
      <c r="C369" s="4">
        <f t="shared" si="19"/>
        <v>1.0824402316418026E-9</v>
      </c>
      <c r="D369" s="4">
        <f t="shared" si="20"/>
        <v>4.353060520706617E-2</v>
      </c>
    </row>
    <row r="370" spans="2:4" x14ac:dyDescent="0.25">
      <c r="B370" s="71">
        <f t="shared" si="18"/>
        <v>15.250000000000082</v>
      </c>
      <c r="C370" s="4">
        <f t="shared" si="19"/>
        <v>9.2206484000207557E-10</v>
      </c>
      <c r="D370" s="4">
        <f t="shared" si="20"/>
        <v>4.4999868128890105E-2</v>
      </c>
    </row>
    <row r="371" spans="2:4" x14ac:dyDescent="0.25">
      <c r="B371" s="71">
        <f t="shared" si="18"/>
        <v>15.300000000000082</v>
      </c>
      <c r="C371" s="4">
        <f t="shared" si="19"/>
        <v>7.8488998389233237E-10</v>
      </c>
      <c r="D371" s="4">
        <f t="shared" si="20"/>
        <v>4.6494324975808805E-2</v>
      </c>
    </row>
    <row r="372" spans="2:4" x14ac:dyDescent="0.25">
      <c r="B372" s="71">
        <f t="shared" si="18"/>
        <v>15.350000000000083</v>
      </c>
      <c r="C372" s="4">
        <f t="shared" si="19"/>
        <v>6.6764546114376042E-10</v>
      </c>
      <c r="D372" s="4">
        <f t="shared" si="20"/>
        <v>4.8013218846883199E-2</v>
      </c>
    </row>
    <row r="373" spans="2:4" x14ac:dyDescent="0.25">
      <c r="B373" s="71">
        <f t="shared" si="18"/>
        <v>15.400000000000084</v>
      </c>
      <c r="C373" s="4">
        <f t="shared" si="19"/>
        <v>5.6750906560185807E-10</v>
      </c>
      <c r="D373" s="4">
        <f t="shared" si="20"/>
        <v>4.9555728835925475E-2</v>
      </c>
    </row>
    <row r="374" spans="2:4" x14ac:dyDescent="0.25">
      <c r="B374" s="71">
        <f t="shared" si="18"/>
        <v>15.450000000000085</v>
      </c>
      <c r="C374" s="4">
        <f t="shared" si="19"/>
        <v>4.8204712263435094E-10</v>
      </c>
      <c r="D374" s="4">
        <f t="shared" si="20"/>
        <v>5.1120969690800218E-2</v>
      </c>
    </row>
    <row r="375" spans="2:4" x14ac:dyDescent="0.25">
      <c r="B375" s="71">
        <f t="shared" si="18"/>
        <v>15.500000000000085</v>
      </c>
      <c r="C375" s="4">
        <f t="shared" si="19"/>
        <v>4.0916264273665079E-10</v>
      </c>
      <c r="D375" s="4">
        <f t="shared" si="20"/>
        <v>5.2707991633105182E-2</v>
      </c>
    </row>
    <row r="376" spans="2:4" x14ac:dyDescent="0.25">
      <c r="B376" s="71">
        <f t="shared" si="18"/>
        <v>15.550000000000086</v>
      </c>
      <c r="C376" s="4">
        <f t="shared" si="19"/>
        <v>3.4705015594723815E-10</v>
      </c>
      <c r="D376" s="4">
        <f t="shared" si="20"/>
        <v>5.4315780343959792E-2</v>
      </c>
    </row>
    <row r="377" spans="2:4" x14ac:dyDescent="0.25">
      <c r="B377" s="71">
        <f t="shared" si="18"/>
        <v>15.600000000000087</v>
      </c>
      <c r="C377" s="4">
        <f t="shared" si="19"/>
        <v>2.9415639979473842E-10</v>
      </c>
      <c r="D377" s="4">
        <f t="shared" si="20"/>
        <v>5.59432571211914E-2</v>
      </c>
    </row>
    <row r="378" spans="2:4" x14ac:dyDescent="0.25">
      <c r="B378" s="71">
        <f t="shared" si="18"/>
        <v>15.650000000000087</v>
      </c>
      <c r="C378" s="4">
        <f t="shared" si="19"/>
        <v>2.491461313063929E-10</v>
      </c>
      <c r="D378" s="4">
        <f t="shared" si="20"/>
        <v>5.7589279212736912E-2</v>
      </c>
    </row>
    <row r="379" spans="2:4" x14ac:dyDescent="0.25">
      <c r="B379" s="71">
        <f t="shared" si="18"/>
        <v>15.700000000000088</v>
      </c>
      <c r="C379" s="4">
        <f t="shared" si="19"/>
        <v>2.1087242047436657E-10</v>
      </c>
      <c r="D379" s="4">
        <f t="shared" si="20"/>
        <v>5.9252640330569123E-2</v>
      </c>
    </row>
    <row r="380" spans="2:4" x14ac:dyDescent="0.25">
      <c r="B380" s="71">
        <f t="shared" si="18"/>
        <v>15.750000000000089</v>
      </c>
      <c r="C380" s="4">
        <f t="shared" si="19"/>
        <v>1.7835085964469453E-10</v>
      </c>
      <c r="D380" s="4">
        <f t="shared" si="20"/>
        <v>6.0932071348914173E-2</v>
      </c>
    </row>
    <row r="381" spans="2:4" x14ac:dyDescent="0.25">
      <c r="B381" s="71">
        <f t="shared" si="18"/>
        <v>15.80000000000009</v>
      </c>
      <c r="C381" s="4">
        <f t="shared" si="19"/>
        <v>1.5073719159685365E-10</v>
      </c>
      <c r="D381" s="4">
        <f t="shared" si="20"/>
        <v>6.2626241189952567E-2</v>
      </c>
    </row>
    <row r="382" spans="2:4" x14ac:dyDescent="0.25">
      <c r="B382" s="71">
        <f t="shared" si="18"/>
        <v>15.85000000000009</v>
      </c>
      <c r="C382" s="4">
        <f t="shared" si="19"/>
        <v>1.2730791955362257E-10</v>
      </c>
      <c r="D382" s="4">
        <f t="shared" si="20"/>
        <v>6.4333757899591712E-2</v>
      </c>
    </row>
    <row r="383" spans="2:4" x14ac:dyDescent="0.25">
      <c r="B383" s="71">
        <f t="shared" si="18"/>
        <v>15.900000000000091</v>
      </c>
      <c r="C383" s="4">
        <f t="shared" si="19"/>
        <v>1.0744351584368475E-10</v>
      </c>
      <c r="D383" s="4">
        <f t="shared" si="20"/>
        <v>6.605316991526311E-2</v>
      </c>
    </row>
    <row r="384" spans="2:4" x14ac:dyDescent="0.25">
      <c r="B384" s="71">
        <f t="shared" si="18"/>
        <v>15.950000000000092</v>
      </c>
      <c r="C384" s="4">
        <f t="shared" si="19"/>
        <v>9.0613893191922616E-11</v>
      </c>
      <c r="D384" s="4">
        <f t="shared" si="20"/>
        <v>6.7782967527039009E-2</v>
      </c>
    </row>
    <row r="385" spans="2:4" x14ac:dyDescent="0.25">
      <c r="B385" s="71">
        <f t="shared" si="18"/>
        <v>16.000000000000092</v>
      </c>
      <c r="C385" s="4">
        <f t="shared" si="19"/>
        <v>7.6365844317819718E-11</v>
      </c>
      <c r="D385" s="4">
        <f t="shared" si="20"/>
        <v>6.9521584532679273E-2</v>
      </c>
    </row>
    <row r="386" spans="2:4" x14ac:dyDescent="0.25">
      <c r="B386" s="71">
        <f t="shared" ref="B386:B449" si="21">B385+$A$65</f>
        <v>16.050000000000093</v>
      </c>
      <c r="C386" s="4">
        <f t="shared" ref="C386:C449" si="22">_xlfn.NORM.DIST(B386,$C$57,C$58,FALSE)*C$59</f>
        <v>6.4312192294188136E-11</v>
      </c>
      <c r="D386" s="4">
        <f t="shared" ref="D386:D449" si="23">_xlfn.NORM.DIST(B386,$D$57,D$58,FALSE)*D$59</f>
        <v>7.1267400086514152E-2</v>
      </c>
    </row>
    <row r="387" spans="2:4" x14ac:dyDescent="0.25">
      <c r="B387" s="71">
        <f t="shared" si="21"/>
        <v>16.100000000000094</v>
      </c>
      <c r="C387" s="4">
        <f t="shared" si="22"/>
        <v>5.4122426507470919E-11</v>
      </c>
      <c r="D387" s="4">
        <f t="shared" si="23"/>
        <v>7.3018740741345914E-2</v>
      </c>
    </row>
    <row r="388" spans="2:4" x14ac:dyDescent="0.25">
      <c r="B388" s="71">
        <f t="shared" si="21"/>
        <v>16.150000000000095</v>
      </c>
      <c r="C388" s="4">
        <f t="shared" si="22"/>
        <v>4.5514627560626438E-11</v>
      </c>
      <c r="D388" s="4">
        <f t="shared" si="23"/>
        <v>7.477388268181373E-2</v>
      </c>
    </row>
    <row r="389" spans="2:4" x14ac:dyDescent="0.25">
      <c r="B389" s="71">
        <f t="shared" si="21"/>
        <v>16.200000000000095</v>
      </c>
      <c r="C389" s="4">
        <f t="shared" si="22"/>
        <v>3.8248509511931298E-11</v>
      </c>
      <c r="D389" s="4">
        <f t="shared" si="23"/>
        <v>7.6531054146914232E-2</v>
      </c>
    </row>
    <row r="390" spans="2:4" x14ac:dyDescent="0.25">
      <c r="B390" s="71">
        <f t="shared" si="21"/>
        <v>16.250000000000096</v>
      </c>
      <c r="C390" s="4">
        <f t="shared" si="22"/>
        <v>3.211942984295911E-11</v>
      </c>
      <c r="D390" s="4">
        <f t="shared" si="23"/>
        <v>7.8288438038611907E-2</v>
      </c>
    </row>
    <row r="391" spans="2:4" x14ac:dyDescent="0.25">
      <c r="B391" s="71">
        <f t="shared" si="21"/>
        <v>16.300000000000097</v>
      </c>
      <c r="C391" s="4">
        <f t="shared" si="22"/>
        <v>2.695323684916102E-11</v>
      </c>
      <c r="D391" s="4">
        <f t="shared" si="23"/>
        <v>8.0044174712705807E-2</v>
      </c>
    </row>
    <row r="392" spans="2:4" x14ac:dyDescent="0.25">
      <c r="B392" s="71">
        <f t="shared" si="21"/>
        <v>16.350000000000097</v>
      </c>
      <c r="C392" s="4">
        <f t="shared" si="22"/>
        <v>2.2601841061464968E-11</v>
      </c>
      <c r="D392" s="4">
        <f t="shared" si="23"/>
        <v>8.1796364947352956E-2</v>
      </c>
    </row>
    <row r="393" spans="2:4" x14ac:dyDescent="0.25">
      <c r="B393" s="71">
        <f t="shared" si="21"/>
        <v>16.400000000000098</v>
      </c>
      <c r="C393" s="4">
        <f t="shared" si="22"/>
        <v>1.8939412117258171E-11</v>
      </c>
      <c r="D393" s="4">
        <f t="shared" si="23"/>
        <v>8.3543073083880995E-2</v>
      </c>
    </row>
    <row r="394" spans="2:4" x14ac:dyDescent="0.25">
      <c r="B394" s="71">
        <f t="shared" si="21"/>
        <v>16.450000000000099</v>
      </c>
      <c r="C394" s="4">
        <f t="shared" si="22"/>
        <v>1.5859115453270335E-11</v>
      </c>
      <c r="D394" s="4">
        <f t="shared" si="23"/>
        <v>8.5282330333762896E-2</v>
      </c>
    </row>
    <row r="395" spans="2:4" x14ac:dyDescent="0.25">
      <c r="B395" s="71">
        <f t="shared" si="21"/>
        <v>16.500000000000099</v>
      </c>
      <c r="C395" s="4">
        <f t="shared" si="22"/>
        <v>1.3270314512725798E-11</v>
      </c>
      <c r="D395" s="4">
        <f t="shared" si="23"/>
        <v>8.7012138244873E-2</v>
      </c>
    </row>
    <row r="396" spans="2:4" x14ac:dyDescent="0.25">
      <c r="B396" s="71">
        <f t="shared" si="21"/>
        <v>16.5500000000001</v>
      </c>
      <c r="C396" s="4">
        <f t="shared" si="22"/>
        <v>1.1096174041218163E-11</v>
      </c>
      <c r="D396" s="4">
        <f t="shared" si="23"/>
        <v>8.8730472319405174E-2</v>
      </c>
    </row>
    <row r="397" spans="2:4" x14ac:dyDescent="0.25">
      <c r="B397" s="71">
        <f t="shared" si="21"/>
        <v>16.600000000000101</v>
      </c>
      <c r="C397" s="4">
        <f t="shared" si="22"/>
        <v>9.2716086643650984E-12</v>
      </c>
      <c r="D397" s="4">
        <f t="shared" si="23"/>
        <v>9.0435285775109911E-2</v>
      </c>
    </row>
    <row r="398" spans="2:4" x14ac:dyDescent="0.25">
      <c r="B398" s="71">
        <f t="shared" si="21"/>
        <v>16.650000000000102</v>
      </c>
      <c r="C398" s="4">
        <f t="shared" si="22"/>
        <v>7.7415284496933025E-12</v>
      </c>
      <c r="D398" s="4">
        <f t="shared" si="23"/>
        <v>9.2124513440805314E-2</v>
      </c>
    </row>
    <row r="399" spans="2:4" x14ac:dyDescent="0.25">
      <c r="B399" s="71">
        <f t="shared" si="21"/>
        <v>16.700000000000102</v>
      </c>
      <c r="C399" s="4">
        <f t="shared" si="22"/>
        <v>6.4593396918706568E-12</v>
      </c>
      <c r="D399" s="4">
        <f t="shared" si="23"/>
        <v>9.3796075776437587E-2</v>
      </c>
    </row>
    <row r="400" spans="2:4" x14ac:dyDescent="0.25">
      <c r="B400" s="71">
        <f t="shared" si="21"/>
        <v>16.750000000000103</v>
      </c>
      <c r="C400" s="4">
        <f t="shared" si="22"/>
        <v>5.3856648448871888E-12</v>
      </c>
      <c r="D400" s="4">
        <f t="shared" si="23"/>
        <v>9.5447883007316256E-2</v>
      </c>
    </row>
    <row r="401" spans="2:4" x14ac:dyDescent="0.25">
      <c r="B401" s="71">
        <f t="shared" si="21"/>
        <v>16.800000000000104</v>
      </c>
      <c r="C401" s="4">
        <f t="shared" si="22"/>
        <v>4.487250463480916E-12</v>
      </c>
      <c r="D401" s="4">
        <f t="shared" si="23"/>
        <v>9.7077839361529306E-2</v>
      </c>
    </row>
    <row r="402" spans="2:4" x14ac:dyDescent="0.25">
      <c r="B402" s="71">
        <f t="shared" si="21"/>
        <v>16.850000000000104</v>
      </c>
      <c r="C402" s="4">
        <f t="shared" si="22"/>
        <v>3.7360363027770046E-12</v>
      </c>
      <c r="D402" s="4">
        <f t="shared" si="23"/>
        <v>9.8683847398959759E-2</v>
      </c>
    </row>
    <row r="403" spans="2:4" x14ac:dyDescent="0.25">
      <c r="B403" s="71">
        <f t="shared" si="21"/>
        <v>16.900000000000105</v>
      </c>
      <c r="C403" s="4">
        <f t="shared" si="22"/>
        <v>3.1083624423185142E-12</v>
      </c>
      <c r="D403" s="4">
        <f t="shared" si="23"/>
        <v>0.10026381241977826</v>
      </c>
    </row>
    <row r="404" spans="2:4" x14ac:dyDescent="0.25">
      <c r="B404" s="71">
        <f t="shared" si="21"/>
        <v>16.950000000000106</v>
      </c>
      <c r="C404" s="4">
        <f t="shared" si="22"/>
        <v>2.5842945210268551E-12</v>
      </c>
      <c r="D404" s="4">
        <f t="shared" si="23"/>
        <v>0.10181564693978259</v>
      </c>
    </row>
    <row r="405" spans="2:4" x14ac:dyDescent="0.25">
      <c r="B405" s="71">
        <f t="shared" si="21"/>
        <v>17.000000000000107</v>
      </c>
      <c r="C405" s="4">
        <f t="shared" si="22"/>
        <v>2.147049956925641E-12</v>
      </c>
      <c r="D405" s="4">
        <f t="shared" si="23"/>
        <v>0.10333727521949457</v>
      </c>
    </row>
    <row r="406" spans="2:4" x14ac:dyDescent="0.25">
      <c r="B406" s="71">
        <f t="shared" si="21"/>
        <v>17.050000000000107</v>
      </c>
      <c r="C406" s="4">
        <f t="shared" si="22"/>
        <v>1.7825104356731408E-12</v>
      </c>
      <c r="D406" s="4">
        <f t="shared" si="23"/>
        <v>0.10482663783351398</v>
      </c>
    </row>
    <row r="407" spans="2:4" x14ac:dyDescent="0.25">
      <c r="B407" s="71">
        <f t="shared" si="21"/>
        <v>17.100000000000108</v>
      </c>
      <c r="C407" s="4">
        <f t="shared" si="22"/>
        <v>1.4788080341431784E-12</v>
      </c>
      <c r="D407" s="4">
        <f t="shared" si="23"/>
        <v>0.10628169626626689</v>
      </c>
    </row>
    <row r="408" spans="2:4" x14ac:dyDescent="0.25">
      <c r="B408" s="71">
        <f t="shared" si="21"/>
        <v>17.150000000000109</v>
      </c>
      <c r="C408" s="4">
        <f t="shared" si="22"/>
        <v>1.2259741424406812E-12</v>
      </c>
      <c r="D408" s="4">
        <f t="shared" si="23"/>
        <v>0.10770043751997767</v>
      </c>
    </row>
    <row r="409" spans="2:4" x14ac:dyDescent="0.25">
      <c r="B409" s="71">
        <f t="shared" si="21"/>
        <v>17.200000000000109</v>
      </c>
      <c r="C409" s="4">
        <f t="shared" si="22"/>
        <v>1.0156418974209639E-12</v>
      </c>
      <c r="D409" s="4">
        <f t="shared" si="23"/>
        <v>0.10908087872044119</v>
      </c>
    </row>
    <row r="410" spans="2:4" x14ac:dyDescent="0.25">
      <c r="B410" s="71">
        <f t="shared" si="21"/>
        <v>17.25000000000011</v>
      </c>
      <c r="C410" s="4">
        <f t="shared" si="22"/>
        <v>8.4079417583943997E-13</v>
      </c>
      <c r="D410" s="4">
        <f t="shared" si="23"/>
        <v>0.11042107170597498</v>
      </c>
    </row>
    <row r="411" spans="2:4" x14ac:dyDescent="0.25">
      <c r="B411" s="71">
        <f t="shared" si="21"/>
        <v>17.300000000000111</v>
      </c>
      <c r="C411" s="4">
        <f t="shared" si="22"/>
        <v>6.9555034435757395E-13</v>
      </c>
      <c r="D411" s="4">
        <f t="shared" si="23"/>
        <v>0.11171910758479556</v>
      </c>
    </row>
    <row r="412" spans="2:4" x14ac:dyDescent="0.25">
      <c r="B412" s="71">
        <f t="shared" si="21"/>
        <v>17.350000000000112</v>
      </c>
      <c r="C412" s="4">
        <f t="shared" si="22"/>
        <v>5.7498595176328799E-13</v>
      </c>
      <c r="D412" s="4">
        <f t="shared" si="23"/>
        <v>0.11297312124598527</v>
      </c>
    </row>
    <row r="413" spans="2:4" x14ac:dyDescent="0.25">
      <c r="B413" s="71">
        <f t="shared" si="21"/>
        <v>17.400000000000112</v>
      </c>
      <c r="C413" s="4">
        <f t="shared" si="22"/>
        <v>4.7498039770014143E-13</v>
      </c>
      <c r="D413" s="4">
        <f t="shared" si="23"/>
        <v>0.11418129580920271</v>
      </c>
    </row>
    <row r="414" spans="2:4" x14ac:dyDescent="0.25">
      <c r="B414" s="71">
        <f t="shared" si="21"/>
        <v>17.450000000000113</v>
      </c>
      <c r="C414" s="4">
        <f t="shared" si="22"/>
        <v>3.9208834088202118E-13</v>
      </c>
      <c r="D414" s="4">
        <f t="shared" si="23"/>
        <v>0.11534186699833635</v>
      </c>
    </row>
    <row r="415" spans="2:4" x14ac:dyDescent="0.25">
      <c r="B415" s="71">
        <f t="shared" si="21"/>
        <v>17.500000000000114</v>
      </c>
      <c r="C415" s="4">
        <f t="shared" si="22"/>
        <v>3.2343123466236612E-13</v>
      </c>
      <c r="D415" s="4">
        <f t="shared" si="23"/>
        <v>0.11645312742441224</v>
      </c>
    </row>
    <row r="416" spans="2:4" x14ac:dyDescent="0.25">
      <c r="B416" s="71">
        <f t="shared" si="21"/>
        <v>17.550000000000114</v>
      </c>
      <c r="C416" s="4">
        <f t="shared" si="22"/>
        <v>2.6660591322675857E-13</v>
      </c>
      <c r="D416" s="4">
        <f t="shared" si="23"/>
        <v>0.11751343076324108</v>
      </c>
    </row>
    <row r="417" spans="2:4" x14ac:dyDescent="0.25">
      <c r="B417" s="71">
        <f t="shared" si="21"/>
        <v>17.600000000000115</v>
      </c>
      <c r="C417" s="4">
        <f t="shared" si="22"/>
        <v>2.196076099852325E-13</v>
      </c>
      <c r="D417" s="4">
        <f t="shared" si="23"/>
        <v>0.11852119581352512</v>
      </c>
    </row>
    <row r="418" spans="2:4" x14ac:dyDescent="0.25">
      <c r="B418" s="71">
        <f t="shared" si="21"/>
        <v>17.650000000000116</v>
      </c>
      <c r="C418" s="4">
        <f t="shared" si="22"/>
        <v>1.8076518170256977E-13</v>
      </c>
      <c r="D418" s="4">
        <f t="shared" si="23"/>
        <v>0.11947491042144744</v>
      </c>
    </row>
    <row r="419" spans="2:4" x14ac:dyDescent="0.25">
      <c r="B419" s="71">
        <f t="shared" si="21"/>
        <v>17.700000000000117</v>
      </c>
      <c r="C419" s="4">
        <f t="shared" si="22"/>
        <v>1.4868664682317058E-13</v>
      </c>
      <c r="D419" s="4">
        <f t="shared" si="23"/>
        <v>0.12037313525812537</v>
      </c>
    </row>
    <row r="420" spans="2:4" x14ac:dyDescent="0.25">
      <c r="B420" s="71">
        <f t="shared" si="21"/>
        <v>17.750000000000117</v>
      </c>
      <c r="C420" s="4">
        <f t="shared" si="22"/>
        <v>1.2221343236648787E-13</v>
      </c>
      <c r="D420" s="4">
        <f t="shared" si="23"/>
        <v>0.12121450743673273</v>
      </c>
    </row>
    <row r="421" spans="2:4" x14ac:dyDescent="0.25">
      <c r="B421" s="71">
        <f t="shared" si="21"/>
        <v>17.800000000000118</v>
      </c>
      <c r="C421" s="4">
        <f t="shared" si="22"/>
        <v>1.0038196763944579E-13</v>
      </c>
      <c r="D421" s="4">
        <f t="shared" si="23"/>
        <v>0.1219977439565768</v>
      </c>
    </row>
    <row r="422" spans="2:4" x14ac:dyDescent="0.25">
      <c r="B422" s="71">
        <f t="shared" si="21"/>
        <v>17.850000000000119</v>
      </c>
      <c r="C422" s="4">
        <f t="shared" si="22"/>
        <v>8.2391470831456823E-14</v>
      </c>
      <c r="D422" s="4">
        <f t="shared" si="23"/>
        <v>0.12272164496195397</v>
      </c>
    </row>
    <row r="423" spans="2:4" x14ac:dyDescent="0.25">
      <c r="B423" s="71">
        <f t="shared" si="21"/>
        <v>17.900000000000119</v>
      </c>
      <c r="C423" s="4">
        <f t="shared" si="22"/>
        <v>6.7576951497370806E-14</v>
      </c>
      <c r="D423" s="4">
        <f t="shared" si="23"/>
        <v>0.12338509680420305</v>
      </c>
    </row>
    <row r="424" spans="2:4" x14ac:dyDescent="0.25">
      <c r="B424" s="71">
        <f t="shared" si="21"/>
        <v>17.95000000000012</v>
      </c>
      <c r="C424" s="4">
        <f t="shared" si="22"/>
        <v>5.5386602448021943E-14</v>
      </c>
      <c r="D424" s="4">
        <f t="shared" si="23"/>
        <v>0.12398707489602009</v>
      </c>
    </row>
    <row r="425" spans="2:4" x14ac:dyDescent="0.25">
      <c r="B425" s="71">
        <f t="shared" si="21"/>
        <v>18.000000000000121</v>
      </c>
      <c r="C425" s="4">
        <f t="shared" si="22"/>
        <v>4.5362882489962941E-14</v>
      </c>
      <c r="D425" s="4">
        <f t="shared" si="23"/>
        <v>0.12452664634779774</v>
      </c>
    </row>
    <row r="426" spans="2:4" x14ac:dyDescent="0.25">
      <c r="B426" s="71">
        <f t="shared" si="21"/>
        <v>18.050000000000122</v>
      </c>
      <c r="C426" s="4">
        <f t="shared" si="22"/>
        <v>3.7126700080399015E-14</v>
      </c>
      <c r="D426" s="4">
        <f t="shared" si="23"/>
        <v>0.12500297237649469</v>
      </c>
    </row>
    <row r="427" spans="2:4" x14ac:dyDescent="0.25">
      <c r="B427" s="71">
        <f t="shared" si="21"/>
        <v>18.100000000000122</v>
      </c>
      <c r="C427" s="4">
        <f t="shared" si="22"/>
        <v>3.0364200119750667E-14</v>
      </c>
      <c r="D427" s="4">
        <f t="shared" si="23"/>
        <v>0.12541531047832924</v>
      </c>
    </row>
    <row r="428" spans="2:4" x14ac:dyDescent="0.25">
      <c r="B428" s="71">
        <f t="shared" si="21"/>
        <v>18.150000000000123</v>
      </c>
      <c r="C428" s="4">
        <f t="shared" si="22"/>
        <v>2.481573422052634E-14</v>
      </c>
      <c r="D428" s="4">
        <f t="shared" si="23"/>
        <v>0.12576301635742052</v>
      </c>
    </row>
    <row r="429" spans="2:4" x14ac:dyDescent="0.25">
      <c r="B429" s="71">
        <f t="shared" si="21"/>
        <v>18.200000000000124</v>
      </c>
      <c r="C429" s="4">
        <f t="shared" si="22"/>
        <v>2.0266660947945767E-14</v>
      </c>
      <c r="D429" s="4">
        <f t="shared" si="23"/>
        <v>0.12604554560336431</v>
      </c>
    </row>
    <row r="430" spans="2:4" x14ac:dyDescent="0.25">
      <c r="B430" s="71">
        <f t="shared" si="21"/>
        <v>18.250000000000124</v>
      </c>
      <c r="C430" s="4">
        <f t="shared" si="22"/>
        <v>1.6539678506916321E-14</v>
      </c>
      <c r="D430" s="4">
        <f t="shared" si="23"/>
        <v>0.12626245511163059</v>
      </c>
    </row>
    <row r="431" spans="2:4" x14ac:dyDescent="0.25">
      <c r="B431" s="71">
        <f t="shared" si="21"/>
        <v>18.300000000000125</v>
      </c>
      <c r="C431" s="4">
        <f t="shared" si="22"/>
        <v>1.3488439675721237E-14</v>
      </c>
      <c r="D431" s="4">
        <f t="shared" si="23"/>
        <v>0.12641340424159442</v>
      </c>
    </row>
    <row r="432" spans="2:4" x14ac:dyDescent="0.25">
      <c r="B432" s="71">
        <f t="shared" si="21"/>
        <v>18.350000000000126</v>
      </c>
      <c r="C432" s="4">
        <f t="shared" si="22"/>
        <v>1.0992238761839606E-14</v>
      </c>
      <c r="D432" s="4">
        <f t="shared" si="23"/>
        <v>0.12649815570796488</v>
      </c>
    </row>
    <row r="433" spans="2:4" x14ac:dyDescent="0.25">
      <c r="B433" s="71">
        <f t="shared" si="21"/>
        <v>18.400000000000126</v>
      </c>
      <c r="C433" s="4">
        <f t="shared" si="22"/>
        <v>8.9515940919617243E-15</v>
      </c>
      <c r="D433" s="4">
        <f t="shared" si="23"/>
        <v>0.12651657620234605</v>
      </c>
    </row>
    <row r="434" spans="2:4" x14ac:dyDescent="0.25">
      <c r="B434" s="71">
        <f t="shared" si="21"/>
        <v>18.450000000000127</v>
      </c>
      <c r="C434" s="4">
        <f t="shared" si="22"/>
        <v>7.2845779952378559E-15</v>
      </c>
      <c r="D434" s="4">
        <f t="shared" si="23"/>
        <v>0.12646863674265127</v>
      </c>
    </row>
    <row r="435" spans="2:4" x14ac:dyDescent="0.25">
      <c r="B435" s="71">
        <f t="shared" si="21"/>
        <v>18.500000000000128</v>
      </c>
      <c r="C435" s="4">
        <f t="shared" si="22"/>
        <v>5.9237702046732857E-15</v>
      </c>
      <c r="D435" s="4">
        <f t="shared" si="23"/>
        <v>0.12635441274908851</v>
      </c>
    </row>
    <row r="436" spans="2:4" x14ac:dyDescent="0.25">
      <c r="B436" s="71">
        <f t="shared" si="21"/>
        <v>18.550000000000129</v>
      </c>
      <c r="C436" s="4">
        <f t="shared" si="22"/>
        <v>4.8137307747140183E-15</v>
      </c>
      <c r="D436" s="4">
        <f t="shared" si="23"/>
        <v>0.12617408384643852</v>
      </c>
    </row>
    <row r="437" spans="2:4" x14ac:dyDescent="0.25">
      <c r="B437" s="71">
        <f t="shared" si="21"/>
        <v>18.600000000000129</v>
      </c>
      <c r="C437" s="4">
        <f t="shared" si="22"/>
        <v>3.9089055790016506E-15</v>
      </c>
      <c r="D437" s="4">
        <f t="shared" si="23"/>
        <v>0.12592793339335065</v>
      </c>
    </row>
    <row r="438" spans="2:4" x14ac:dyDescent="0.25">
      <c r="B438" s="71">
        <f t="shared" si="21"/>
        <v>18.65000000000013</v>
      </c>
      <c r="C438" s="4">
        <f t="shared" si="22"/>
        <v>3.1718917085709339E-15</v>
      </c>
      <c r="D438" s="4">
        <f t="shared" si="23"/>
        <v>0.12561634774038322</v>
      </c>
    </row>
    <row r="439" spans="2:4" x14ac:dyDescent="0.25">
      <c r="B439" s="71">
        <f t="shared" si="21"/>
        <v>18.700000000000131</v>
      </c>
      <c r="C439" s="4">
        <f t="shared" si="22"/>
        <v>2.5720020598540726E-15</v>
      </c>
      <c r="D439" s="4">
        <f t="shared" si="23"/>
        <v>0.125239815219508</v>
      </c>
    </row>
    <row r="440" spans="2:4" x14ac:dyDescent="0.25">
      <c r="B440" s="71">
        <f t="shared" si="21"/>
        <v>18.750000000000131</v>
      </c>
      <c r="C440" s="4">
        <f t="shared" si="22"/>
        <v>2.0840784420412143E-15</v>
      </c>
      <c r="D440" s="4">
        <f t="shared" si="23"/>
        <v>0.12479892486877808</v>
      </c>
    </row>
    <row r="441" spans="2:4" x14ac:dyDescent="0.25">
      <c r="B441" s="71">
        <f t="shared" si="21"/>
        <v>18.800000000000132</v>
      </c>
      <c r="C441" s="4">
        <f t="shared" si="22"/>
        <v>1.6875109482473478E-15</v>
      </c>
      <c r="D441" s="4">
        <f t="shared" si="23"/>
        <v>0.12429436489682094</v>
      </c>
    </row>
    <row r="442" spans="2:4" x14ac:dyDescent="0.25">
      <c r="B442" s="71">
        <f t="shared" si="21"/>
        <v>18.850000000000133</v>
      </c>
      <c r="C442" s="4">
        <f t="shared" si="22"/>
        <v>1.365428381605415E-15</v>
      </c>
      <c r="D442" s="4">
        <f t="shared" si="23"/>
        <v>0.12372692089276047</v>
      </c>
    </row>
    <row r="443" spans="2:4" x14ac:dyDescent="0.25">
      <c r="B443" s="71">
        <f t="shared" si="21"/>
        <v>18.900000000000134</v>
      </c>
      <c r="C443" s="4">
        <f t="shared" si="22"/>
        <v>1.1040304232595108E-15</v>
      </c>
      <c r="D443" s="4">
        <f t="shared" si="23"/>
        <v>0.12309747378808393</v>
      </c>
    </row>
    <row r="444" spans="2:4" x14ac:dyDescent="0.25">
      <c r="B444" s="71">
        <f t="shared" si="21"/>
        <v>18.950000000000134</v>
      </c>
      <c r="C444" s="4">
        <f t="shared" si="22"/>
        <v>8.9203715800016179E-16</v>
      </c>
      <c r="D444" s="4">
        <f t="shared" si="23"/>
        <v>0.12240699757785614</v>
      </c>
    </row>
    <row r="445" spans="2:4" x14ac:dyDescent="0.25">
      <c r="B445" s="71">
        <f t="shared" si="21"/>
        <v>19.000000000000135</v>
      </c>
      <c r="C445" s="4">
        <f t="shared" si="22"/>
        <v>7.2023569008122805E-16</v>
      </c>
      <c r="D445" s="4">
        <f t="shared" si="23"/>
        <v>0.12165655680953101</v>
      </c>
    </row>
    <row r="446" spans="2:4" x14ac:dyDescent="0.25">
      <c r="B446" s="71">
        <f t="shared" si="21"/>
        <v>19.050000000000136</v>
      </c>
      <c r="C446" s="4">
        <f t="shared" si="22"/>
        <v>5.8110701741929868E-16</v>
      </c>
      <c r="D446" s="4">
        <f t="shared" si="23"/>
        <v>0.12084730384842196</v>
      </c>
    </row>
    <row r="447" spans="2:4" x14ac:dyDescent="0.25">
      <c r="B447" s="71">
        <f t="shared" si="21"/>
        <v>19.100000000000136</v>
      </c>
      <c r="C447" s="4">
        <f t="shared" si="22"/>
        <v>4.6851919716236913E-16</v>
      </c>
      <c r="D447" s="4">
        <f t="shared" si="23"/>
        <v>0.11998047592966211</v>
      </c>
    </row>
    <row r="448" spans="2:4" x14ac:dyDescent="0.25">
      <c r="B448" s="71">
        <f t="shared" si="21"/>
        <v>19.150000000000137</v>
      </c>
      <c r="C448" s="4">
        <f t="shared" si="22"/>
        <v>3.7747522235306405E-16</v>
      </c>
      <c r="D448" s="4">
        <f t="shared" si="23"/>
        <v>0.11905739200720822</v>
      </c>
    </row>
    <row r="449" spans="2:4" x14ac:dyDescent="0.25">
      <c r="B449" s="71">
        <f t="shared" si="21"/>
        <v>19.200000000000138</v>
      </c>
      <c r="C449" s="4">
        <f t="shared" si="22"/>
        <v>3.0390601619043042E-16</v>
      </c>
      <c r="D449" s="4">
        <f t="shared" si="23"/>
        <v>0.11807944941111725</v>
      </c>
    </row>
    <row r="450" spans="2:4" x14ac:dyDescent="0.25">
      <c r="B450" s="71">
        <f t="shared" ref="B450:B513" si="24">B449+$A$65</f>
        <v>19.250000000000139</v>
      </c>
      <c r="C450" s="4">
        <f t="shared" ref="C450:C513" si="25">_xlfn.NORM.DIST(B450,$C$57,C$58,FALSE)*C$59</f>
        <v>2.4450060283717677E-16</v>
      </c>
      <c r="D450" s="4">
        <f t="shared" ref="D450:D513" si="26">_xlfn.NORM.DIST(B450,$D$57,D$58,FALSE)*D$59</f>
        <v>0.11704812032494868</v>
      </c>
    </row>
    <row r="451" spans="2:4" x14ac:dyDescent="0.25">
      <c r="B451" s="71">
        <f t="shared" si="24"/>
        <v>19.300000000000139</v>
      </c>
      <c r="C451" s="4">
        <f t="shared" si="25"/>
        <v>1.9656688692755845E-16</v>
      </c>
      <c r="D451" s="4">
        <f t="shared" si="26"/>
        <v>0.11596494809571464</v>
      </c>
    </row>
    <row r="452" spans="2:4" x14ac:dyDescent="0.25">
      <c r="B452" s="71">
        <f t="shared" si="24"/>
        <v>19.35000000000014</v>
      </c>
      <c r="C452" s="4">
        <f t="shared" si="25"/>
        <v>1.5791761412749267E-16</v>
      </c>
      <c r="D452" s="4">
        <f t="shared" si="26"/>
        <v>0.11483154338931301</v>
      </c>
    </row>
    <row r="453" spans="2:4" x14ac:dyDescent="0.25">
      <c r="B453" s="71">
        <f t="shared" si="24"/>
        <v>19.400000000000141</v>
      </c>
      <c r="C453" s="4">
        <f t="shared" si="25"/>
        <v>1.2677703102473683E-16</v>
      </c>
      <c r="D453" s="4">
        <f t="shared" si="26"/>
        <v>0.1136495802048349</v>
      </c>
    </row>
    <row r="454" spans="2:4" x14ac:dyDescent="0.25">
      <c r="B454" s="71">
        <f t="shared" si="24"/>
        <v>19.450000000000141</v>
      </c>
      <c r="C454" s="4">
        <f t="shared" si="25"/>
        <v>1.0170454672280068E-16</v>
      </c>
      <c r="D454" s="4">
        <f t="shared" si="26"/>
        <v>0.11242079176153133</v>
      </c>
    </row>
    <row r="455" spans="2:4" x14ac:dyDescent="0.25">
      <c r="B455" s="71">
        <f t="shared" si="24"/>
        <v>19.500000000000142</v>
      </c>
      <c r="C455" s="4">
        <f t="shared" si="25"/>
        <v>8.1532347918419651E-17</v>
      </c>
      <c r="D455" s="4">
        <f t="shared" si="26"/>
        <v>0.11114696627255967</v>
      </c>
    </row>
    <row r="456" spans="2:4" x14ac:dyDescent="0.25">
      <c r="B456" s="71">
        <f t="shared" si="24"/>
        <v>19.550000000000143</v>
      </c>
      <c r="C456" s="4">
        <f t="shared" si="25"/>
        <v>6.5314456644145902E-17</v>
      </c>
      <c r="D456" s="4">
        <f t="shared" si="26"/>
        <v>0.10982994261990082</v>
      </c>
    </row>
    <row r="457" spans="2:4" x14ac:dyDescent="0.25">
      <c r="B457" s="71">
        <f t="shared" si="24"/>
        <v>19.600000000000144</v>
      </c>
      <c r="C457" s="4">
        <f t="shared" si="25"/>
        <v>5.2285164200321867E-17</v>
      </c>
      <c r="D457" s="4">
        <f t="shared" si="26"/>
        <v>0.10847160594504765</v>
      </c>
    </row>
    <row r="458" spans="2:4" x14ac:dyDescent="0.25">
      <c r="B458" s="71">
        <f t="shared" si="24"/>
        <v>19.650000000000144</v>
      </c>
      <c r="C458" s="4">
        <f t="shared" si="25"/>
        <v>4.1825141891650813E-17</v>
      </c>
      <c r="D458" s="4">
        <f t="shared" si="26"/>
        <v>0.10707388317021131</v>
      </c>
    </row>
    <row r="459" spans="2:4" x14ac:dyDescent="0.25">
      <c r="B459" s="71">
        <f t="shared" si="24"/>
        <v>19.700000000000145</v>
      </c>
      <c r="C459" s="4">
        <f t="shared" si="25"/>
        <v>3.3433832200124254E-17</v>
      </c>
      <c r="D459" s="4">
        <f t="shared" si="26"/>
        <v>0.10563873846487382</v>
      </c>
    </row>
    <row r="460" spans="2:4" x14ac:dyDescent="0.25">
      <c r="B460" s="71">
        <f t="shared" si="24"/>
        <v>19.750000000000146</v>
      </c>
      <c r="C460" s="4">
        <f t="shared" si="25"/>
        <v>2.67069739436447E-17</v>
      </c>
      <c r="D460" s="4">
        <f t="shared" si="26"/>
        <v>0.10416816867253578</v>
      </c>
    </row>
    <row r="461" spans="2:4" x14ac:dyDescent="0.25">
      <c r="B461" s="71">
        <f t="shared" si="24"/>
        <v>19.800000000000146</v>
      </c>
      <c r="C461" s="4">
        <f t="shared" si="25"/>
        <v>2.1318320921403303E-17</v>
      </c>
      <c r="D461" s="4">
        <f t="shared" si="26"/>
        <v>0.10266419871246621</v>
      </c>
    </row>
    <row r="462" spans="2:4" x14ac:dyDescent="0.25">
      <c r="B462" s="71">
        <f t="shared" si="24"/>
        <v>19.850000000000147</v>
      </c>
      <c r="C462" s="4">
        <f t="shared" si="25"/>
        <v>1.7004783126212212E-17</v>
      </c>
      <c r="D462" s="4">
        <f t="shared" si="26"/>
        <v>0.10112887697115659</v>
      </c>
    </row>
    <row r="463" spans="2:4" x14ac:dyDescent="0.25">
      <c r="B463" s="71">
        <f t="shared" si="24"/>
        <v>19.900000000000148</v>
      </c>
      <c r="C463" s="4">
        <f t="shared" si="25"/>
        <v>1.3554359118338817E-17</v>
      </c>
      <c r="D463" s="4">
        <f t="shared" si="26"/>
        <v>9.9564270698019569E-2</v>
      </c>
    </row>
    <row r="464" spans="2:4" x14ac:dyDescent="0.25">
      <c r="B464" s="71">
        <f t="shared" si="24"/>
        <v>19.950000000000149</v>
      </c>
      <c r="C464" s="4">
        <f t="shared" si="25"/>
        <v>1.0796342839835437E-17</v>
      </c>
      <c r="D464" s="4">
        <f t="shared" si="26"/>
        <v>9.7972461419650284E-2</v>
      </c>
    </row>
    <row r="465" spans="2:4" x14ac:dyDescent="0.25">
      <c r="B465" s="71">
        <f t="shared" si="24"/>
        <v>20.000000000000149</v>
      </c>
      <c r="C465" s="4">
        <f t="shared" si="25"/>
        <v>8.5933823439311785E-18</v>
      </c>
      <c r="D465" s="4">
        <f t="shared" si="26"/>
        <v>9.6355540386690433E-2</v>
      </c>
    </row>
    <row r="466" spans="2:4" x14ac:dyDescent="0.25">
      <c r="B466" s="71">
        <f t="shared" si="24"/>
        <v>20.05000000000015</v>
      </c>
      <c r="C466" s="4">
        <f t="shared" si="25"/>
        <v>6.8350452170975678E-18</v>
      </c>
      <c r="D466" s="4">
        <f t="shared" si="26"/>
        <v>9.4715604067003037E-2</v>
      </c>
    </row>
    <row r="467" spans="2:4" x14ac:dyDescent="0.25">
      <c r="B467" s="71">
        <f t="shared" si="24"/>
        <v>20.100000000000151</v>
      </c>
      <c r="C467" s="4">
        <f t="shared" si="25"/>
        <v>5.4326088589394722E-18</v>
      </c>
      <c r="D467" s="4">
        <f t="shared" si="26"/>
        <v>9.3054749698481723E-2</v>
      </c>
    </row>
    <row r="468" spans="2:4" x14ac:dyDescent="0.25">
      <c r="B468" s="71">
        <f t="shared" si="24"/>
        <v>20.150000000000151</v>
      </c>
      <c r="C468" s="4">
        <f t="shared" si="25"/>
        <v>4.3148457191354511E-18</v>
      </c>
      <c r="D468" s="4">
        <f t="shared" si="26"/>
        <v>9.1375070914384779E-2</v>
      </c>
    </row>
    <row r="469" spans="2:4" x14ac:dyDescent="0.25">
      <c r="B469" s="71">
        <f t="shared" si="24"/>
        <v>20.200000000000152</v>
      </c>
      <c r="C469" s="4">
        <f t="shared" si="25"/>
        <v>3.4246161056899896E-18</v>
      </c>
      <c r="D469" s="4">
        <f t="shared" si="26"/>
        <v>8.9678653453604235E-2</v>
      </c>
    </row>
    <row r="470" spans="2:4" x14ac:dyDescent="0.25">
      <c r="B470" s="71">
        <f t="shared" si="24"/>
        <v>20.250000000000153</v>
      </c>
      <c r="C470" s="4">
        <f t="shared" si="25"/>
        <v>2.7161159544013187E-18</v>
      </c>
      <c r="D470" s="4">
        <f t="shared" si="26"/>
        <v>8.7967570967757522E-2</v>
      </c>
    </row>
    <row r="471" spans="2:4" x14ac:dyDescent="0.25">
      <c r="B471" s="71">
        <f t="shared" si="24"/>
        <v>20.300000000000153</v>
      </c>
      <c r="C471" s="4">
        <f t="shared" si="25"/>
        <v>2.152655371152801E-18</v>
      </c>
      <c r="D471" s="4">
        <f t="shared" si="26"/>
        <v>8.6243880936424239E-2</v>
      </c>
    </row>
    <row r="472" spans="2:4" x14ac:dyDescent="0.25">
      <c r="B472" s="71">
        <f t="shared" si="24"/>
        <v>20.350000000000154</v>
      </c>
      <c r="C472" s="4">
        <f t="shared" si="25"/>
        <v>1.7048669682697268E-18</v>
      </c>
      <c r="D472" s="4">
        <f t="shared" si="26"/>
        <v>8.4509620701252203E-2</v>
      </c>
    </row>
    <row r="473" spans="2:4" x14ac:dyDescent="0.25">
      <c r="B473" s="71">
        <f t="shared" si="24"/>
        <v>20.400000000000155</v>
      </c>
      <c r="C473" s="4">
        <f t="shared" si="25"/>
        <v>1.3492619539904922E-18</v>
      </c>
      <c r="D473" s="4">
        <f t="shared" si="26"/>
        <v>8.276680362902071E-2</v>
      </c>
    </row>
    <row r="474" spans="2:4" x14ac:dyDescent="0.25">
      <c r="B474" s="71">
        <f t="shared" si="24"/>
        <v>20.450000000000156</v>
      </c>
      <c r="C474" s="4">
        <f t="shared" si="25"/>
        <v>1.0670673736683899E-18</v>
      </c>
      <c r="D474" s="4">
        <f t="shared" si="26"/>
        <v>8.1017415413087324E-2</v>
      </c>
    </row>
    <row r="475" spans="2:4" x14ac:dyDescent="0.25">
      <c r="B475" s="71">
        <f t="shared" si="24"/>
        <v>20.500000000000156</v>
      </c>
      <c r="C475" s="4">
        <f t="shared" si="25"/>
        <v>8.432904785392591E-19</v>
      </c>
      <c r="D475" s="4">
        <f t="shared" si="26"/>
        <v>7.9263410521953098E-2</v>
      </c>
    </row>
    <row r="476" spans="2:4" x14ac:dyDescent="0.25">
      <c r="B476" s="71">
        <f t="shared" si="24"/>
        <v>20.550000000000157</v>
      </c>
      <c r="C476" s="4">
        <f t="shared" si="25"/>
        <v>6.6596643503262776E-19</v>
      </c>
      <c r="D476" s="4">
        <f t="shared" si="26"/>
        <v>7.7506708802970267E-2</v>
      </c>
    </row>
    <row r="477" spans="2:4" x14ac:dyDescent="0.25">
      <c r="B477" s="71">
        <f t="shared" si="24"/>
        <v>20.600000000000158</v>
      </c>
      <c r="C477" s="4">
        <f t="shared" si="25"/>
        <v>5.2555391325067055E-19</v>
      </c>
      <c r="D477" s="4">
        <f t="shared" si="26"/>
        <v>7.5749192248484018E-2</v>
      </c>
    </row>
    <row r="478" spans="2:4" x14ac:dyDescent="0.25">
      <c r="B478" s="71">
        <f t="shared" si="24"/>
        <v>20.650000000000158</v>
      </c>
      <c r="C478" s="4">
        <f t="shared" si="25"/>
        <v>4.1444985877807596E-19</v>
      </c>
      <c r="D478" s="4">
        <f t="shared" si="26"/>
        <v>7.3992701930955973E-2</v>
      </c>
    </row>
    <row r="479" spans="2:4" x14ac:dyDescent="0.25">
      <c r="B479" s="71">
        <f t="shared" si="24"/>
        <v>20.700000000000159</v>
      </c>
      <c r="C479" s="4">
        <f t="shared" si="25"/>
        <v>3.2660024527858494E-19</v>
      </c>
      <c r="D479" s="4">
        <f t="shared" si="26"/>
        <v>7.2239035112859354E-2</v>
      </c>
    </row>
    <row r="480" spans="2:4" x14ac:dyDescent="0.25">
      <c r="B480" s="71">
        <f t="shared" si="24"/>
        <v>20.75000000000016</v>
      </c>
      <c r="C480" s="4">
        <f t="shared" si="25"/>
        <v>2.5718806198891373E-19</v>
      </c>
      <c r="D480" s="4">
        <f t="shared" si="26"/>
        <v>7.0489942536371308E-2</v>
      </c>
    </row>
    <row r="481" spans="2:4" x14ac:dyDescent="0.25">
      <c r="B481" s="71">
        <f t="shared" si="24"/>
        <v>20.800000000000161</v>
      </c>
      <c r="C481" s="4">
        <f t="shared" si="25"/>
        <v>2.023834029208554E-19</v>
      </c>
      <c r="D481" s="4">
        <f t="shared" si="26"/>
        <v>6.8747125897122424E-2</v>
      </c>
    </row>
    <row r="482" spans="2:4" x14ac:dyDescent="0.25">
      <c r="B482" s="71">
        <f t="shared" si="24"/>
        <v>20.850000000000161</v>
      </c>
      <c r="C482" s="4">
        <f t="shared" si="25"/>
        <v>1.5914345076584293E-19</v>
      </c>
      <c r="D482" s="4">
        <f t="shared" si="26"/>
        <v>6.70122355054939E-2</v>
      </c>
    </row>
    <row r="483" spans="2:4" x14ac:dyDescent="0.25">
      <c r="B483" s="71">
        <f t="shared" si="24"/>
        <v>20.900000000000162</v>
      </c>
      <c r="C483" s="4">
        <f t="shared" si="25"/>
        <v>1.2505251669624616E-19</v>
      </c>
      <c r="D483" s="4">
        <f t="shared" si="26"/>
        <v>6.5286868138190388E-2</v>
      </c>
    </row>
    <row r="484" spans="2:4" x14ac:dyDescent="0.25">
      <c r="B484" s="71">
        <f t="shared" si="24"/>
        <v>20.950000000000163</v>
      </c>
      <c r="C484" s="4">
        <f t="shared" si="25"/>
        <v>9.8194212319493482E-20</v>
      </c>
      <c r="D484" s="4">
        <f t="shared" si="26"/>
        <v>6.3572565082060412E-2</v>
      </c>
    </row>
    <row r="485" spans="2:4" x14ac:dyDescent="0.25">
      <c r="B485" s="71">
        <f t="shared" si="24"/>
        <v>21.000000000000163</v>
      </c>
      <c r="C485" s="4">
        <f t="shared" si="25"/>
        <v>7.7049377414103073E-20</v>
      </c>
      <c r="D485" s="4">
        <f t="shared" si="26"/>
        <v>6.1870810371389404E-2</v>
      </c>
    </row>
    <row r="486" spans="2:4" x14ac:dyDescent="0.25">
      <c r="B486" s="71">
        <f t="shared" si="24"/>
        <v>21.050000000000164</v>
      </c>
      <c r="C486" s="4">
        <f t="shared" si="25"/>
        <v>6.041463634441857E-20</v>
      </c>
      <c r="D486" s="4">
        <f t="shared" si="26"/>
        <v>6.0183029219158711E-2</v>
      </c>
    </row>
    <row r="487" spans="2:4" x14ac:dyDescent="0.25">
      <c r="B487" s="71">
        <f t="shared" si="24"/>
        <v>21.100000000000165</v>
      </c>
      <c r="C487" s="4">
        <f t="shared" si="25"/>
        <v>4.7337463827969336E-20</v>
      </c>
      <c r="D487" s="4">
        <f t="shared" si="26"/>
        <v>5.8510586642049209E-2</v>
      </c>
    </row>
    <row r="488" spans="2:4" x14ac:dyDescent="0.25">
      <c r="B488" s="71">
        <f t="shared" si="24"/>
        <v>21.150000000000166</v>
      </c>
      <c r="C488" s="4">
        <f t="shared" si="25"/>
        <v>3.706445304053895E-20</v>
      </c>
      <c r="D488" s="4">
        <f t="shared" si="26"/>
        <v>5.6854786278271119E-2</v>
      </c>
    </row>
    <row r="489" spans="2:4" x14ac:dyDescent="0.25">
      <c r="B489" s="71">
        <f t="shared" si="24"/>
        <v>21.200000000000166</v>
      </c>
      <c r="C489" s="4">
        <f t="shared" si="25"/>
        <v>2.9000133272639783E-20</v>
      </c>
      <c r="D489" s="4">
        <f t="shared" si="26"/>
        <v>5.5216869396629772E-2</v>
      </c>
    </row>
    <row r="490" spans="2:4" x14ac:dyDescent="0.25">
      <c r="B490" s="71">
        <f t="shared" si="24"/>
        <v>21.250000000000167</v>
      </c>
      <c r="C490" s="4">
        <f t="shared" si="25"/>
        <v>2.2674210836237559E-20</v>
      </c>
      <c r="D490" s="4">
        <f t="shared" si="26"/>
        <v>5.3598014094587976E-2</v>
      </c>
    </row>
    <row r="491" spans="2:4" x14ac:dyDescent="0.25">
      <c r="B491" s="71">
        <f t="shared" si="24"/>
        <v>21.300000000000168</v>
      </c>
      <c r="C491" s="4">
        <f t="shared" si="25"/>
        <v>1.7715530263825693E-20</v>
      </c>
      <c r="D491" s="4">
        <f t="shared" si="26"/>
        <v>5.19993346824646E-2</v>
      </c>
    </row>
    <row r="492" spans="2:4" x14ac:dyDescent="0.25">
      <c r="B492" s="71">
        <f t="shared" si="24"/>
        <v>21.350000000000168</v>
      </c>
      <c r="C492" s="4">
        <f t="shared" si="25"/>
        <v>1.3831392975359105E-20</v>
      </c>
      <c r="D492" s="4">
        <f t="shared" si="26"/>
        <v>5.0421881250317942E-2</v>
      </c>
    </row>
    <row r="493" spans="2:4" x14ac:dyDescent="0.25">
      <c r="B493" s="71">
        <f t="shared" si="24"/>
        <v>21.400000000000169</v>
      </c>
      <c r="C493" s="4">
        <f t="shared" si="25"/>
        <v>1.0791143647456507E-20</v>
      </c>
      <c r="D493" s="4">
        <f t="shared" si="26"/>
        <v>4.8866639413501473E-2</v>
      </c>
    </row>
    <row r="494" spans="2:4" x14ac:dyDescent="0.25">
      <c r="B494" s="71">
        <f t="shared" si="24"/>
        <v>21.45000000000017</v>
      </c>
      <c r="C494" s="4">
        <f t="shared" si="25"/>
        <v>8.4131535546830627E-21</v>
      </c>
      <c r="D494" s="4">
        <f t="shared" si="26"/>
        <v>4.7334530232352449E-2</v>
      </c>
    </row>
    <row r="495" spans="2:4" x14ac:dyDescent="0.25">
      <c r="B495" s="71">
        <f t="shared" si="24"/>
        <v>21.500000000000171</v>
      </c>
      <c r="C495" s="4">
        <f t="shared" si="25"/>
        <v>6.554505711764786E-21</v>
      </c>
      <c r="D495" s="4">
        <f t="shared" si="26"/>
        <v>4.5826410300981169E-2</v>
      </c>
    </row>
    <row r="496" spans="2:4" x14ac:dyDescent="0.25">
      <c r="B496" s="71">
        <f t="shared" si="24"/>
        <v>21.550000000000171</v>
      </c>
      <c r="C496" s="4">
        <f t="shared" si="25"/>
        <v>5.1028272450301815E-21</v>
      </c>
      <c r="D496" s="4">
        <f t="shared" si="26"/>
        <v>4.4343071999671468E-2</v>
      </c>
    </row>
    <row r="497" spans="2:4" x14ac:dyDescent="0.25">
      <c r="B497" s="71">
        <f t="shared" si="24"/>
        <v>21.600000000000172</v>
      </c>
      <c r="C497" s="4">
        <f t="shared" si="25"/>
        <v>3.9698269325248719E-21</v>
      </c>
      <c r="D497" s="4">
        <f t="shared" si="26"/>
        <v>4.2885243904982245E-2</v>
      </c>
    </row>
    <row r="498" spans="2:4" x14ac:dyDescent="0.25">
      <c r="B498" s="71">
        <f t="shared" si="24"/>
        <v>21.650000000000173</v>
      </c>
      <c r="C498" s="4">
        <f t="shared" si="25"/>
        <v>3.0861858143405912E-21</v>
      </c>
      <c r="D498" s="4">
        <f t="shared" si="26"/>
        <v>4.1453591351257903E-2</v>
      </c>
    </row>
    <row r="499" spans="2:4" x14ac:dyDescent="0.25">
      <c r="B499" s="71">
        <f t="shared" si="24"/>
        <v>21.700000000000173</v>
      </c>
      <c r="C499" s="4">
        <f t="shared" si="25"/>
        <v>2.3975206493606877E-21</v>
      </c>
      <c r="D499" s="4">
        <f t="shared" si="26"/>
        <v>4.0048717136909828E-2</v>
      </c>
    </row>
    <row r="500" spans="2:4" x14ac:dyDescent="0.25">
      <c r="B500" s="71">
        <f t="shared" si="24"/>
        <v>21.750000000000174</v>
      </c>
      <c r="C500" s="4">
        <f t="shared" si="25"/>
        <v>1.8611973725063037E-21</v>
      </c>
      <c r="D500" s="4">
        <f t="shared" si="26"/>
        <v>3.8671162368526135E-2</v>
      </c>
    </row>
    <row r="501" spans="2:4" x14ac:dyDescent="0.25">
      <c r="B501" s="71">
        <f t="shared" si="24"/>
        <v>21.800000000000175</v>
      </c>
      <c r="C501" s="4">
        <f t="shared" si="25"/>
        <v>1.4438174750102653E-21</v>
      </c>
      <c r="D501" s="4">
        <f t="shared" si="26"/>
        <v>3.7321407435598336E-2</v>
      </c>
    </row>
    <row r="502" spans="2:4" x14ac:dyDescent="0.25">
      <c r="B502" s="71">
        <f t="shared" si="24"/>
        <v>21.850000000000176</v>
      </c>
      <c r="C502" s="4">
        <f t="shared" si="25"/>
        <v>1.1192367090648857E-21</v>
      </c>
      <c r="D502" s="4">
        <f t="shared" si="26"/>
        <v>3.5999873108425562E-2</v>
      </c>
    </row>
    <row r="503" spans="2:4" x14ac:dyDescent="0.25">
      <c r="B503" s="71">
        <f t="shared" si="24"/>
        <v>21.900000000000176</v>
      </c>
      <c r="C503" s="4">
        <f t="shared" si="25"/>
        <v>8.6700456970722701E-22</v>
      </c>
      <c r="D503" s="4">
        <f t="shared" si="26"/>
        <v>3.4706921751566637E-2</v>
      </c>
    </row>
    <row r="504" spans="2:4" x14ac:dyDescent="0.25">
      <c r="B504" s="71">
        <f t="shared" si="24"/>
        <v>21.950000000000177</v>
      </c>
      <c r="C504" s="4">
        <f t="shared" si="25"/>
        <v>6.7113612481586726E-22</v>
      </c>
      <c r="D504" s="4">
        <f t="shared" si="26"/>
        <v>3.3442858645057381E-2</v>
      </c>
    </row>
    <row r="505" spans="2:4" x14ac:dyDescent="0.25">
      <c r="B505" s="71">
        <f t="shared" si="24"/>
        <v>22.000000000000178</v>
      </c>
      <c r="C505" s="4">
        <f t="shared" si="25"/>
        <v>5.191461458089776E-22</v>
      </c>
      <c r="D505" s="4">
        <f t="shared" si="26"/>
        <v>3.2207933405496207E-2</v>
      </c>
    </row>
    <row r="506" spans="2:4" x14ac:dyDescent="0.25">
      <c r="B506" s="71">
        <f t="shared" si="24"/>
        <v>22.050000000000178</v>
      </c>
      <c r="C506" s="4">
        <f t="shared" si="25"/>
        <v>4.0129009576677408E-22</v>
      </c>
      <c r="D506" s="4">
        <f t="shared" si="26"/>
        <v>3.1002341499022305E-2</v>
      </c>
    </row>
    <row r="507" spans="2:4" x14ac:dyDescent="0.25">
      <c r="B507" s="71">
        <f t="shared" si="24"/>
        <v>22.100000000000179</v>
      </c>
      <c r="C507" s="4">
        <f t="shared" si="25"/>
        <v>3.099681253441063E-22</v>
      </c>
      <c r="D507" s="4">
        <f t="shared" si="26"/>
        <v>2.982622583816812E-2</v>
      </c>
    </row>
    <row r="508" spans="2:4" x14ac:dyDescent="0.25">
      <c r="B508" s="71">
        <f t="shared" si="24"/>
        <v>22.15000000000018</v>
      </c>
      <c r="C508" s="4">
        <f t="shared" si="25"/>
        <v>2.3925742325899473E-22</v>
      </c>
      <c r="D508" s="4">
        <f t="shared" si="26"/>
        <v>2.8679678454559623E-2</v>
      </c>
    </row>
    <row r="509" spans="2:4" x14ac:dyDescent="0.25">
      <c r="B509" s="71">
        <f t="shared" si="24"/>
        <v>22.20000000000018</v>
      </c>
      <c r="C509" s="4">
        <f t="shared" si="25"/>
        <v>1.8454555722019354E-22</v>
      </c>
      <c r="D509" s="4">
        <f t="shared" si="26"/>
        <v>2.7562742239463259E-2</v>
      </c>
    </row>
    <row r="510" spans="2:4" x14ac:dyDescent="0.25">
      <c r="B510" s="71">
        <f t="shared" si="24"/>
        <v>22.250000000000181</v>
      </c>
      <c r="C510" s="4">
        <f t="shared" si="25"/>
        <v>1.4224321389113809E-22</v>
      </c>
      <c r="D510" s="4">
        <f t="shared" si="26"/>
        <v>2.6475412744235229E-2</v>
      </c>
    </row>
    <row r="511" spans="2:4" x14ac:dyDescent="0.25">
      <c r="B511" s="71">
        <f t="shared" si="24"/>
        <v>22.300000000000182</v>
      </c>
      <c r="C511" s="4">
        <f t="shared" si="25"/>
        <v>1.095593146964742E-22</v>
      </c>
      <c r="D511" s="4">
        <f t="shared" si="26"/>
        <v>2.5417640032816876E-2</v>
      </c>
    </row>
    <row r="512" spans="2:4" x14ac:dyDescent="0.25">
      <c r="B512" s="71">
        <f t="shared" si="24"/>
        <v>22.350000000000183</v>
      </c>
      <c r="C512" s="4">
        <f t="shared" si="25"/>
        <v>8.4325096429925303E-23</v>
      </c>
      <c r="D512" s="4">
        <f t="shared" si="26"/>
        <v>2.4389330578536365E-2</v>
      </c>
    </row>
    <row r="513" spans="2:4" x14ac:dyDescent="0.25">
      <c r="B513" s="71">
        <f t="shared" si="24"/>
        <v>22.400000000000183</v>
      </c>
      <c r="C513" s="4">
        <f t="shared" si="25"/>
        <v>6.4856599544424664E-23</v>
      </c>
      <c r="D513" s="4">
        <f t="shared" si="26"/>
        <v>2.339034919762057E-2</v>
      </c>
    </row>
    <row r="514" spans="2:4" x14ac:dyDescent="0.25">
      <c r="B514" s="71">
        <f t="shared" ref="B514:B536" si="27">B513+$A$65</f>
        <v>22.450000000000184</v>
      </c>
      <c r="C514" s="4">
        <f t="shared" ref="C514:C536" si="28">_xlfn.NORM.DIST(B514,$C$57,C$58,FALSE)*C$59</f>
        <v>4.9847260073503841E-23</v>
      </c>
      <c r="D514" s="4">
        <f t="shared" ref="D514:D536" si="29">_xlfn.NORM.DIST(B514,$D$57,D$58,FALSE)*D$59</f>
        <v>2.2420521011990872E-2</v>
      </c>
    </row>
    <row r="515" spans="2:4" x14ac:dyDescent="0.25">
      <c r="B515" s="71">
        <f t="shared" si="27"/>
        <v>22.500000000000185</v>
      </c>
      <c r="C515" s="4">
        <f t="shared" si="28"/>
        <v>3.8284078441999571E-23</v>
      </c>
      <c r="D515" s="4">
        <f t="shared" si="29"/>
        <v>2.147963343410967E-2</v>
      </c>
    </row>
    <row r="516" spans="2:4" x14ac:dyDescent="0.25">
      <c r="B516" s="71">
        <f t="shared" si="27"/>
        <v>22.550000000000185</v>
      </c>
      <c r="C516" s="4">
        <f t="shared" si="28"/>
        <v>2.9382239327574458E-23</v>
      </c>
      <c r="D516" s="4">
        <f t="shared" si="29"/>
        <v>2.0567438166859169E-2</v>
      </c>
    </row>
    <row r="517" spans="2:4" x14ac:dyDescent="0.25">
      <c r="B517" s="71">
        <f t="shared" si="27"/>
        <v>22.600000000000186</v>
      </c>
      <c r="C517" s="4">
        <f t="shared" si="28"/>
        <v>2.2534160077097375E-23</v>
      </c>
      <c r="D517" s="4">
        <f t="shared" si="29"/>
        <v>1.9683653211669729E-2</v>
      </c>
    </row>
    <row r="518" spans="2:4" x14ac:dyDescent="0.25">
      <c r="B518" s="71">
        <f t="shared" si="27"/>
        <v>22.650000000000187</v>
      </c>
      <c r="C518" s="4">
        <f t="shared" si="28"/>
        <v>1.7269813481468315E-23</v>
      </c>
      <c r="D518" s="4">
        <f t="shared" si="29"/>
        <v>1.8827964878367805E-2</v>
      </c>
    </row>
    <row r="519" spans="2:4" x14ac:dyDescent="0.25">
      <c r="B519" s="71">
        <f t="shared" si="27"/>
        <v>22.700000000000188</v>
      </c>
      <c r="C519" s="4">
        <f t="shared" si="28"/>
        <v>1.3225853500971579E-23</v>
      </c>
      <c r="D519" s="4">
        <f t="shared" si="29"/>
        <v>1.8000029790482982E-2</v>
      </c>
    </row>
    <row r="520" spans="2:4" x14ac:dyDescent="0.25">
      <c r="B520" s="71">
        <f t="shared" si="27"/>
        <v>22.750000000000188</v>
      </c>
      <c r="C520" s="4">
        <f t="shared" si="28"/>
        <v>1.0121609021606651E-23</v>
      </c>
      <c r="D520" s="4">
        <f t="shared" si="29"/>
        <v>1.7199476880037645E-2</v>
      </c>
    </row>
    <row r="521" spans="2:4" x14ac:dyDescent="0.25">
      <c r="B521" s="71">
        <f t="shared" si="27"/>
        <v>22.800000000000189</v>
      </c>
      <c r="C521" s="4">
        <f t="shared" si="28"/>
        <v>7.740431926596164E-24</v>
      </c>
      <c r="D521" s="4">
        <f t="shared" si="29"/>
        <v>1.6425909366138223E-2</v>
      </c>
    </row>
    <row r="522" spans="2:4" x14ac:dyDescent="0.25">
      <c r="B522" s="71">
        <f t="shared" si="27"/>
        <v>22.85000000000019</v>
      </c>
      <c r="C522" s="4">
        <f t="shared" si="28"/>
        <v>5.9152161993146815E-24</v>
      </c>
      <c r="D522" s="4">
        <f t="shared" si="29"/>
        <v>1.5678906711993925E-2</v>
      </c>
    </row>
    <row r="523" spans="2:4" x14ac:dyDescent="0.25">
      <c r="B523" s="71">
        <f t="shared" si="27"/>
        <v>22.90000000000019</v>
      </c>
      <c r="C523" s="4">
        <f t="shared" si="28"/>
        <v>4.5171637920922197E-24</v>
      </c>
      <c r="D523" s="4">
        <f t="shared" si="29"/>
        <v>1.4958026555303655E-2</v>
      </c>
    </row>
    <row r="524" spans="2:4" x14ac:dyDescent="0.25">
      <c r="B524" s="71">
        <f t="shared" si="27"/>
        <v>22.950000000000191</v>
      </c>
      <c r="C524" s="4">
        <f t="shared" si="28"/>
        <v>3.4470758742308108E-24</v>
      </c>
      <c r="D524" s="4">
        <f t="shared" si="29"/>
        <v>1.4262806607273469E-2</v>
      </c>
    </row>
    <row r="525" spans="2:4" x14ac:dyDescent="0.25">
      <c r="B525" s="71">
        <f t="shared" si="27"/>
        <v>23.000000000000192</v>
      </c>
      <c r="C525" s="4">
        <f t="shared" si="28"/>
        <v>2.6286068548740025E-24</v>
      </c>
      <c r="D525" s="4">
        <f t="shared" si="29"/>
        <v>1.3592766515853689E-2</v>
      </c>
    </row>
    <row r="526" spans="2:4" x14ac:dyDescent="0.25">
      <c r="B526" s="71">
        <f t="shared" si="27"/>
        <v>23.050000000000193</v>
      </c>
      <c r="C526" s="4">
        <f t="shared" si="28"/>
        <v>2.0030427490740297E-24</v>
      </c>
      <c r="D526" s="4">
        <f t="shared" si="29"/>
        <v>1.2947409689115022E-2</v>
      </c>
    </row>
    <row r="527" spans="2:4" x14ac:dyDescent="0.25">
      <c r="B527" s="71">
        <f t="shared" si="27"/>
        <v>23.100000000000193</v>
      </c>
      <c r="C527" s="4">
        <f t="shared" si="28"/>
        <v>1.5252624861316667E-24</v>
      </c>
      <c r="D527" s="4">
        <f t="shared" si="29"/>
        <v>1.2326225075013851E-2</v>
      </c>
    </row>
    <row r="528" spans="2:4" x14ac:dyDescent="0.25">
      <c r="B528" s="71">
        <f t="shared" si="27"/>
        <v>23.150000000000194</v>
      </c>
      <c r="C528" s="4">
        <f t="shared" si="28"/>
        <v>1.16061652132773E-24</v>
      </c>
      <c r="D528" s="4">
        <f t="shared" si="29"/>
        <v>1.1728688894128845E-2</v>
      </c>
    </row>
    <row r="529" spans="2:4" x14ac:dyDescent="0.25">
      <c r="B529" s="71">
        <f t="shared" si="27"/>
        <v>23.200000000000195</v>
      </c>
      <c r="C529" s="4">
        <f t="shared" si="28"/>
        <v>8.8251622116165209E-25</v>
      </c>
      <c r="D529" s="4">
        <f t="shared" si="29"/>
        <v>1.1154266322280813E-2</v>
      </c>
    </row>
    <row r="530" spans="2:4" x14ac:dyDescent="0.25">
      <c r="B530" s="71">
        <f t="shared" si="27"/>
        <v>23.250000000000195</v>
      </c>
      <c r="C530" s="4">
        <f t="shared" si="28"/>
        <v>6.7057357249537829E-25</v>
      </c>
      <c r="D530" s="4">
        <f t="shared" si="29"/>
        <v>1.060241312027425E-2</v>
      </c>
    </row>
    <row r="531" spans="2:4" x14ac:dyDescent="0.25">
      <c r="B531" s="71">
        <f t="shared" si="27"/>
        <v>23.300000000000196</v>
      </c>
      <c r="C531" s="4">
        <f t="shared" si="28"/>
        <v>5.0916666121574722E-25</v>
      </c>
      <c r="D531" s="4">
        <f t="shared" si="29"/>
        <v>1.0072577208321793E-2</v>
      </c>
    </row>
    <row r="532" spans="2:4" x14ac:dyDescent="0.25">
      <c r="B532" s="71">
        <f t="shared" si="27"/>
        <v>23.350000000000197</v>
      </c>
      <c r="C532" s="4">
        <f t="shared" si="28"/>
        <v>3.8633430549298543E-25</v>
      </c>
      <c r="D532" s="4">
        <f t="shared" si="29"/>
        <v>9.5642001830296471E-3</v>
      </c>
    </row>
    <row r="533" spans="2:4" x14ac:dyDescent="0.25">
      <c r="B533" s="71">
        <f t="shared" si="27"/>
        <v>23.400000000000198</v>
      </c>
      <c r="C533" s="4">
        <f t="shared" si="28"/>
        <v>2.9292495871839505E-25</v>
      </c>
      <c r="D533" s="4">
        <f t="shared" si="29"/>
        <v>9.0767187751317497E-3</v>
      </c>
    </row>
    <row r="534" spans="2:4" x14ac:dyDescent="0.25">
      <c r="B534" s="71">
        <f t="shared" si="27"/>
        <v>23.450000000000198</v>
      </c>
      <c r="C534" s="4">
        <f t="shared" si="28"/>
        <v>2.2194188457693859E-25</v>
      </c>
      <c r="D534" s="4">
        <f t="shared" si="29"/>
        <v>8.6095662464627104E-3</v>
      </c>
    </row>
    <row r="535" spans="2:4" x14ac:dyDescent="0.25">
      <c r="B535" s="71">
        <f t="shared" si="27"/>
        <v>23.500000000000199</v>
      </c>
      <c r="C535" s="4">
        <f t="shared" si="28"/>
        <v>1.6803972040127822E-25</v>
      </c>
      <c r="D535" s="4">
        <f t="shared" si="29"/>
        <v>8.1621737249528009E-3</v>
      </c>
    </row>
    <row r="536" spans="2:4" x14ac:dyDescent="0.25">
      <c r="B536" s="71">
        <f t="shared" si="27"/>
        <v>23.5500000000002</v>
      </c>
      <c r="C536" s="4">
        <f t="shared" si="28"/>
        <v>1.2713772028843712E-25</v>
      </c>
      <c r="D536" s="4">
        <f t="shared" si="29"/>
        <v>7.7339714767113241E-3</v>
      </c>
    </row>
  </sheetData>
  <mergeCells count="5">
    <mergeCell ref="M2:O2"/>
    <mergeCell ref="D2:F2"/>
    <mergeCell ref="F13:G13"/>
    <mergeCell ref="H13:I13"/>
    <mergeCell ref="J13:K13"/>
  </mergeCells>
  <conditionalFormatting sqref="D15:E2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5:F2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5:G2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5:H2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4:K14 I14:I2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D53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{B509732C-15CC-42CB-9894-7DA468C1EF8E}</x14:id>
        </ext>
      </extLst>
    </cfRule>
  </conditionalFormatting>
  <conditionalFormatting sqref="E6:F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{43BE0153-FD0D-4A77-8674-8046E5CCA651}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86" r:id="rId4" name="Button 30">
              <controlPr defaultSize="0" print="0" autoFill="0" autoPict="0" macro="[0]!reset_gmm">
                <anchor moveWithCells="1" sizeWithCells="1">
                  <from>
                    <xdr:col>9</xdr:col>
                    <xdr:colOff>9525</xdr:colOff>
                    <xdr:row>3</xdr:row>
                    <xdr:rowOff>57150</xdr:rowOff>
                  </from>
                  <to>
                    <xdr:col>10</xdr:col>
                    <xdr:colOff>933450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5" r:id="rId5" name="Button 29">
              <controlPr defaultSize="0" print="0" autoFill="0" autoPict="0" macro="[0]!auto_GMM_1">
                <anchor moveWithCells="1" sizeWithCells="1">
                  <from>
                    <xdr:col>6</xdr:col>
                    <xdr:colOff>1143000</xdr:colOff>
                    <xdr:row>3</xdr:row>
                    <xdr:rowOff>57150</xdr:rowOff>
                  </from>
                  <to>
                    <xdr:col>8</xdr:col>
                    <xdr:colOff>504825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09732C-15CC-42CB-9894-7DA468C1EF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C65:D536</xm:sqref>
        </x14:conditionalFormatting>
        <x14:conditionalFormatting xmlns:xm="http://schemas.microsoft.com/office/excel/2006/main">
          <x14:cfRule type="dataBar" id="{43BE0153-FD0D-4A77-8674-8046E5CCA6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E6:F6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AL8"/>
  <sheetViews>
    <sheetView topLeftCell="B1" workbookViewId="0">
      <selection activeCell="E30" sqref="E30"/>
    </sheetView>
  </sheetViews>
  <sheetFormatPr defaultRowHeight="15" x14ac:dyDescent="0.25"/>
  <cols>
    <col min="2" max="4" width="10.28515625" customWidth="1"/>
    <col min="6" max="6" width="10.28515625" customWidth="1"/>
    <col min="7" max="38" width="5" customWidth="1"/>
  </cols>
  <sheetData>
    <row r="4" spans="2:38" ht="14.45" x14ac:dyDescent="0.3">
      <c r="C4" s="30" t="s">
        <v>16</v>
      </c>
    </row>
    <row r="5" spans="2:38" ht="18" customHeight="1" x14ac:dyDescent="0.3">
      <c r="C5" s="16" t="s">
        <v>10</v>
      </c>
      <c r="F5" s="54" t="s">
        <v>32</v>
      </c>
      <c r="G5" s="3">
        <f>INT(G6*$C$8)</f>
        <v>0</v>
      </c>
      <c r="H5" s="3">
        <f t="shared" ref="H5:AL5" si="0">INT(H6*$C$8)</f>
        <v>0</v>
      </c>
      <c r="I5" s="3">
        <f t="shared" si="0"/>
        <v>0</v>
      </c>
      <c r="J5" s="3">
        <f t="shared" si="0"/>
        <v>0</v>
      </c>
      <c r="K5" s="3">
        <f t="shared" si="0"/>
        <v>0</v>
      </c>
      <c r="L5" s="3">
        <f t="shared" si="0"/>
        <v>1</v>
      </c>
      <c r="M5" s="3">
        <f t="shared" si="0"/>
        <v>2</v>
      </c>
      <c r="N5" s="3">
        <f t="shared" si="0"/>
        <v>4</v>
      </c>
      <c r="O5" s="3">
        <f t="shared" si="0"/>
        <v>8</v>
      </c>
      <c r="P5" s="3">
        <f t="shared" si="0"/>
        <v>13</v>
      </c>
      <c r="Q5" s="3">
        <f t="shared" si="0"/>
        <v>21</v>
      </c>
      <c r="R5" s="3">
        <f t="shared" si="0"/>
        <v>29</v>
      </c>
      <c r="S5" s="3">
        <f t="shared" si="0"/>
        <v>39</v>
      </c>
      <c r="T5" s="3">
        <f t="shared" si="0"/>
        <v>47</v>
      </c>
      <c r="U5" s="3">
        <f t="shared" si="0"/>
        <v>53</v>
      </c>
      <c r="V5" s="3">
        <f t="shared" si="0"/>
        <v>55</v>
      </c>
      <c r="W5" s="3">
        <f t="shared" si="0"/>
        <v>53</v>
      </c>
      <c r="X5" s="3">
        <f t="shared" si="0"/>
        <v>47</v>
      </c>
      <c r="Y5" s="3">
        <f t="shared" si="0"/>
        <v>39</v>
      </c>
      <c r="Z5" s="3">
        <f t="shared" si="0"/>
        <v>29</v>
      </c>
      <c r="AA5" s="3">
        <f t="shared" si="0"/>
        <v>21</v>
      </c>
      <c r="AB5" s="3">
        <f t="shared" si="0"/>
        <v>13</v>
      </c>
      <c r="AC5" s="3">
        <f t="shared" si="0"/>
        <v>8</v>
      </c>
      <c r="AD5" s="3">
        <f t="shared" si="0"/>
        <v>4</v>
      </c>
      <c r="AE5" s="3">
        <f t="shared" si="0"/>
        <v>2</v>
      </c>
      <c r="AF5" s="3">
        <f t="shared" si="0"/>
        <v>1</v>
      </c>
      <c r="AG5" s="3">
        <f t="shared" si="0"/>
        <v>0</v>
      </c>
      <c r="AH5" s="3">
        <f t="shared" si="0"/>
        <v>0</v>
      </c>
      <c r="AI5" s="3">
        <f t="shared" si="0"/>
        <v>0</v>
      </c>
      <c r="AJ5" s="3">
        <f t="shared" si="0"/>
        <v>0</v>
      </c>
      <c r="AK5" s="3">
        <f t="shared" si="0"/>
        <v>0</v>
      </c>
      <c r="AL5" s="3">
        <f t="shared" si="0"/>
        <v>0</v>
      </c>
    </row>
    <row r="6" spans="2:38" ht="18" customHeight="1" x14ac:dyDescent="0.3">
      <c r="B6" s="15" t="s">
        <v>7</v>
      </c>
      <c r="C6" s="18">
        <v>80</v>
      </c>
      <c r="F6" s="54" t="s">
        <v>0</v>
      </c>
      <c r="G6" s="13">
        <f>_xlfn.NORM.DIST(G8,$C$6,$C$7,FALSE)</f>
        <v>3.7646116604898687E-6</v>
      </c>
      <c r="H6" s="13">
        <f t="shared" ref="H6:AL6" si="1">_xlfn.NORM.DIST(H8,$C$6,$C$7,FALSE)</f>
        <v>1.1524461598217815E-5</v>
      </c>
      <c r="I6" s="13">
        <f t="shared" si="1"/>
        <v>3.2659590149816609E-5</v>
      </c>
      <c r="J6" s="13">
        <f t="shared" si="1"/>
        <v>8.5682166460616962E-5</v>
      </c>
      <c r="K6" s="13">
        <f t="shared" si="1"/>
        <v>2.0809410188877054E-4</v>
      </c>
      <c r="L6" s="13">
        <f t="shared" si="1"/>
        <v>4.678630268954641E-4</v>
      </c>
      <c r="M6" s="13">
        <f t="shared" si="1"/>
        <v>9.7379447186491882E-4</v>
      </c>
      <c r="N6" s="13">
        <f t="shared" si="1"/>
        <v>1.8763139464039241E-3</v>
      </c>
      <c r="O6" s="13">
        <f t="shared" si="1"/>
        <v>3.3468275231138852E-3</v>
      </c>
      <c r="P6" s="13">
        <f t="shared" si="1"/>
        <v>5.5265077107082596E-3</v>
      </c>
      <c r="Q6" s="13">
        <f t="shared" si="1"/>
        <v>8.4480767764308715E-3</v>
      </c>
      <c r="R6" s="13">
        <f t="shared" si="1"/>
        <v>1.1955136722390614E-2</v>
      </c>
      <c r="S6" s="13">
        <f t="shared" si="1"/>
        <v>1.566177085612792E-2</v>
      </c>
      <c r="T6" s="13">
        <f t="shared" si="1"/>
        <v>1.8994016342562734E-2</v>
      </c>
      <c r="U6" s="13">
        <f t="shared" si="1"/>
        <v>2.1324672612369349E-2</v>
      </c>
      <c r="V6" s="13">
        <f t="shared" si="1"/>
        <v>2.2163460022301816E-2</v>
      </c>
      <c r="W6" s="13">
        <f t="shared" si="1"/>
        <v>2.1324672612369349E-2</v>
      </c>
      <c r="X6" s="13">
        <f t="shared" si="1"/>
        <v>1.8994016342562734E-2</v>
      </c>
      <c r="Y6" s="13">
        <f t="shared" si="1"/>
        <v>1.566177085612792E-2</v>
      </c>
      <c r="Z6" s="13">
        <f t="shared" si="1"/>
        <v>1.1955136722390614E-2</v>
      </c>
      <c r="AA6" s="13">
        <f t="shared" si="1"/>
        <v>8.4480767764308715E-3</v>
      </c>
      <c r="AB6" s="13">
        <f t="shared" si="1"/>
        <v>5.5265077107082596E-3</v>
      </c>
      <c r="AC6" s="13">
        <f t="shared" si="1"/>
        <v>3.3468275231138852E-3</v>
      </c>
      <c r="AD6" s="13">
        <f t="shared" si="1"/>
        <v>1.8763139464039241E-3</v>
      </c>
      <c r="AE6" s="13">
        <f t="shared" si="1"/>
        <v>9.7379447186491882E-4</v>
      </c>
      <c r="AF6" s="13">
        <f t="shared" si="1"/>
        <v>4.678630268954641E-4</v>
      </c>
      <c r="AG6" s="13">
        <f t="shared" si="1"/>
        <v>2.0809410188877054E-4</v>
      </c>
      <c r="AH6" s="13">
        <f t="shared" si="1"/>
        <v>8.5682166460616962E-5</v>
      </c>
      <c r="AI6" s="13">
        <f t="shared" si="1"/>
        <v>3.2659590149816609E-5</v>
      </c>
      <c r="AJ6" s="13">
        <f t="shared" si="1"/>
        <v>1.1524461598217815E-5</v>
      </c>
      <c r="AK6" s="13">
        <f t="shared" si="1"/>
        <v>3.7646116604898687E-6</v>
      </c>
      <c r="AL6" s="13">
        <f t="shared" si="1"/>
        <v>1.138437897048529E-6</v>
      </c>
    </row>
    <row r="7" spans="2:38" ht="18" customHeight="1" x14ac:dyDescent="0.3">
      <c r="B7" s="15" t="s">
        <v>8</v>
      </c>
      <c r="C7" s="18">
        <v>18</v>
      </c>
      <c r="F7" s="54" t="s">
        <v>13</v>
      </c>
      <c r="G7" s="13">
        <v>10</v>
      </c>
      <c r="H7" s="13">
        <v>15</v>
      </c>
      <c r="I7" s="13">
        <v>20</v>
      </c>
      <c r="J7" s="13">
        <v>25</v>
      </c>
      <c r="K7" s="13">
        <v>30</v>
      </c>
      <c r="L7" s="13">
        <v>35</v>
      </c>
      <c r="M7" s="13">
        <v>40</v>
      </c>
      <c r="N7" s="13">
        <v>45</v>
      </c>
      <c r="O7" s="13">
        <v>50</v>
      </c>
      <c r="P7" s="13">
        <v>55</v>
      </c>
      <c r="Q7" s="13">
        <v>60</v>
      </c>
      <c r="R7" s="13">
        <v>65</v>
      </c>
      <c r="S7" s="13">
        <v>70</v>
      </c>
      <c r="T7" s="13">
        <v>75</v>
      </c>
      <c r="U7" s="13">
        <v>80</v>
      </c>
      <c r="V7" s="13">
        <v>85</v>
      </c>
      <c r="W7" s="13">
        <v>90</v>
      </c>
      <c r="X7" s="13">
        <v>95</v>
      </c>
      <c r="Y7" s="13">
        <v>100</v>
      </c>
      <c r="Z7" s="13">
        <v>105</v>
      </c>
      <c r="AA7" s="13">
        <v>110</v>
      </c>
      <c r="AB7" s="13">
        <v>115</v>
      </c>
      <c r="AC7" s="13">
        <v>120</v>
      </c>
      <c r="AD7" s="13">
        <v>125</v>
      </c>
      <c r="AE7" s="13">
        <v>130</v>
      </c>
      <c r="AF7" s="13">
        <v>135</v>
      </c>
      <c r="AG7" s="13">
        <v>140</v>
      </c>
      <c r="AH7" s="13">
        <v>145</v>
      </c>
      <c r="AI7" s="13">
        <v>150</v>
      </c>
      <c r="AJ7" s="13">
        <v>155</v>
      </c>
      <c r="AK7" s="13">
        <v>160</v>
      </c>
      <c r="AL7" s="13">
        <v>165</v>
      </c>
    </row>
    <row r="8" spans="2:38" ht="18" customHeight="1" x14ac:dyDescent="0.3">
      <c r="B8" s="15" t="s">
        <v>31</v>
      </c>
      <c r="C8" s="18">
        <v>2500</v>
      </c>
      <c r="F8" s="54" t="s">
        <v>12</v>
      </c>
      <c r="G8" s="20">
        <v>5</v>
      </c>
      <c r="H8" s="13">
        <v>10</v>
      </c>
      <c r="I8" s="13">
        <v>15</v>
      </c>
      <c r="J8" s="13">
        <v>20</v>
      </c>
      <c r="K8" s="13">
        <v>25</v>
      </c>
      <c r="L8" s="13">
        <v>30</v>
      </c>
      <c r="M8" s="13">
        <v>35</v>
      </c>
      <c r="N8" s="13">
        <v>40</v>
      </c>
      <c r="O8" s="13">
        <v>45</v>
      </c>
      <c r="P8" s="13">
        <v>50</v>
      </c>
      <c r="Q8" s="13">
        <v>55</v>
      </c>
      <c r="R8" s="13">
        <v>60</v>
      </c>
      <c r="S8" s="13">
        <v>65</v>
      </c>
      <c r="T8" s="13">
        <v>70</v>
      </c>
      <c r="U8" s="13">
        <v>75</v>
      </c>
      <c r="V8" s="13">
        <v>80</v>
      </c>
      <c r="W8" s="13">
        <v>85</v>
      </c>
      <c r="X8" s="13">
        <v>90</v>
      </c>
      <c r="Y8" s="13">
        <v>95</v>
      </c>
      <c r="Z8" s="13">
        <v>100</v>
      </c>
      <c r="AA8" s="13">
        <v>105</v>
      </c>
      <c r="AB8" s="13">
        <v>110</v>
      </c>
      <c r="AC8" s="13">
        <v>115</v>
      </c>
      <c r="AD8" s="13">
        <v>120</v>
      </c>
      <c r="AE8" s="13">
        <v>125</v>
      </c>
      <c r="AF8" s="13">
        <v>130</v>
      </c>
      <c r="AG8" s="13">
        <v>135</v>
      </c>
      <c r="AH8" s="13">
        <v>140</v>
      </c>
      <c r="AI8" s="13">
        <v>145</v>
      </c>
      <c r="AJ8" s="13">
        <v>150</v>
      </c>
      <c r="AK8" s="13">
        <v>155</v>
      </c>
      <c r="AL8" s="13">
        <v>160</v>
      </c>
    </row>
  </sheetData>
  <conditionalFormatting sqref="G6:AL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5:AL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O504"/>
  <sheetViews>
    <sheetView showGridLines="0" zoomScale="120" zoomScaleNormal="120" workbookViewId="0">
      <selection activeCell="A21" sqref="A21"/>
    </sheetView>
  </sheetViews>
  <sheetFormatPr defaultRowHeight="19.899999999999999" customHeight="1" x14ac:dyDescent="0.25"/>
  <cols>
    <col min="1" max="6" width="19.7109375" customWidth="1"/>
    <col min="7" max="7" width="8.5703125" customWidth="1"/>
    <col min="8" max="8" width="9.28515625" customWidth="1"/>
    <col min="9" max="9" width="9.7109375" customWidth="1"/>
    <col min="10" max="41" width="5" customWidth="1"/>
  </cols>
  <sheetData>
    <row r="2" spans="2:41" ht="19.899999999999999" customHeight="1" x14ac:dyDescent="0.3">
      <c r="C2" s="30" t="s">
        <v>16</v>
      </c>
      <c r="D2" s="16"/>
      <c r="E2" s="15" t="s">
        <v>17</v>
      </c>
      <c r="G2" s="16"/>
      <c r="I2" s="15" t="s">
        <v>14</v>
      </c>
    </row>
    <row r="3" spans="2:41" ht="19.899999999999999" customHeight="1" x14ac:dyDescent="0.3">
      <c r="C3" s="16" t="s">
        <v>10</v>
      </c>
      <c r="D3" s="16" t="s">
        <v>11</v>
      </c>
      <c r="G3" s="16"/>
    </row>
    <row r="4" spans="2:41" ht="19.899999999999999" customHeight="1" x14ac:dyDescent="0.3">
      <c r="B4" s="15" t="s">
        <v>7</v>
      </c>
      <c r="C4" s="18">
        <v>50</v>
      </c>
      <c r="D4" s="18">
        <v>110</v>
      </c>
      <c r="I4" s="16" t="s">
        <v>0</v>
      </c>
      <c r="J4" s="13">
        <f t="shared" ref="J4:AO4" si="0">J8+J7</f>
        <v>3</v>
      </c>
      <c r="K4" s="13">
        <f t="shared" si="0"/>
        <v>9</v>
      </c>
      <c r="L4" s="13">
        <f t="shared" si="0"/>
        <v>7</v>
      </c>
      <c r="M4" s="13">
        <f t="shared" si="0"/>
        <v>20</v>
      </c>
      <c r="N4" s="13">
        <f t="shared" si="0"/>
        <v>27</v>
      </c>
      <c r="O4" s="13">
        <f t="shared" si="0"/>
        <v>34</v>
      </c>
      <c r="P4" s="13">
        <f t="shared" si="0"/>
        <v>45</v>
      </c>
      <c r="Q4" s="13">
        <f t="shared" si="0"/>
        <v>52</v>
      </c>
      <c r="R4" s="13">
        <f t="shared" si="0"/>
        <v>47</v>
      </c>
      <c r="S4" s="13">
        <f t="shared" si="0"/>
        <v>54</v>
      </c>
      <c r="T4" s="13">
        <f t="shared" si="0"/>
        <v>39</v>
      </c>
      <c r="U4" s="13">
        <f t="shared" si="0"/>
        <v>49</v>
      </c>
      <c r="V4" s="13">
        <f t="shared" si="0"/>
        <v>29</v>
      </c>
      <c r="W4" s="13">
        <f t="shared" si="0"/>
        <v>27</v>
      </c>
      <c r="X4" s="13">
        <f t="shared" si="0"/>
        <v>25</v>
      </c>
      <c r="Y4" s="13">
        <f t="shared" si="0"/>
        <v>22</v>
      </c>
      <c r="Z4" s="13">
        <f t="shared" si="0"/>
        <v>19</v>
      </c>
      <c r="AA4" s="13">
        <f t="shared" si="0"/>
        <v>39</v>
      </c>
      <c r="AB4" s="13">
        <f t="shared" si="0"/>
        <v>49</v>
      </c>
      <c r="AC4" s="13">
        <f t="shared" si="0"/>
        <v>63</v>
      </c>
      <c r="AD4" s="13">
        <f t="shared" si="0"/>
        <v>62</v>
      </c>
      <c r="AE4" s="13">
        <f t="shared" si="0"/>
        <v>74</v>
      </c>
      <c r="AF4" s="13">
        <f t="shared" si="0"/>
        <v>61</v>
      </c>
      <c r="AG4" s="13">
        <f t="shared" si="0"/>
        <v>54</v>
      </c>
      <c r="AH4" s="13">
        <f t="shared" si="0"/>
        <v>34</v>
      </c>
      <c r="AI4" s="13">
        <f t="shared" si="0"/>
        <v>24</v>
      </c>
      <c r="AJ4" s="13">
        <f t="shared" si="0"/>
        <v>6</v>
      </c>
      <c r="AK4" s="13">
        <f t="shared" si="0"/>
        <v>3</v>
      </c>
      <c r="AL4" s="13">
        <f t="shared" si="0"/>
        <v>2</v>
      </c>
      <c r="AM4" s="13">
        <f t="shared" si="0"/>
        <v>0</v>
      </c>
      <c r="AN4" s="13">
        <f t="shared" si="0"/>
        <v>0</v>
      </c>
      <c r="AO4" s="13">
        <f t="shared" si="0"/>
        <v>0</v>
      </c>
    </row>
    <row r="5" spans="2:41" ht="19.899999999999999" customHeight="1" x14ac:dyDescent="0.3">
      <c r="B5" s="15" t="s">
        <v>8</v>
      </c>
      <c r="C5" s="18">
        <v>18</v>
      </c>
      <c r="D5" s="18">
        <v>13</v>
      </c>
      <c r="I5" s="16" t="s">
        <v>13</v>
      </c>
      <c r="J5" s="13">
        <f t="shared" ref="J5:AO5" si="1">J6+step</f>
        <v>10</v>
      </c>
      <c r="K5" s="13">
        <f t="shared" si="1"/>
        <v>15</v>
      </c>
      <c r="L5" s="13">
        <f t="shared" si="1"/>
        <v>20</v>
      </c>
      <c r="M5" s="13">
        <f t="shared" si="1"/>
        <v>25</v>
      </c>
      <c r="N5" s="13">
        <f t="shared" si="1"/>
        <v>30</v>
      </c>
      <c r="O5" s="13">
        <f t="shared" si="1"/>
        <v>35</v>
      </c>
      <c r="P5" s="13">
        <f t="shared" si="1"/>
        <v>40</v>
      </c>
      <c r="Q5" s="13">
        <f t="shared" si="1"/>
        <v>45</v>
      </c>
      <c r="R5" s="13">
        <f t="shared" si="1"/>
        <v>50</v>
      </c>
      <c r="S5" s="13">
        <f t="shared" si="1"/>
        <v>55</v>
      </c>
      <c r="T5" s="13">
        <f t="shared" si="1"/>
        <v>60</v>
      </c>
      <c r="U5" s="13">
        <f t="shared" si="1"/>
        <v>65</v>
      </c>
      <c r="V5" s="13">
        <f t="shared" si="1"/>
        <v>70</v>
      </c>
      <c r="W5" s="13">
        <f t="shared" si="1"/>
        <v>75</v>
      </c>
      <c r="X5" s="13">
        <f t="shared" si="1"/>
        <v>80</v>
      </c>
      <c r="Y5" s="13">
        <f t="shared" si="1"/>
        <v>85</v>
      </c>
      <c r="Z5" s="13">
        <f t="shared" si="1"/>
        <v>90</v>
      </c>
      <c r="AA5" s="13">
        <f t="shared" si="1"/>
        <v>95</v>
      </c>
      <c r="AB5" s="13">
        <f t="shared" si="1"/>
        <v>100</v>
      </c>
      <c r="AC5" s="13">
        <f t="shared" si="1"/>
        <v>105</v>
      </c>
      <c r="AD5" s="13">
        <f t="shared" si="1"/>
        <v>110</v>
      </c>
      <c r="AE5" s="13">
        <f t="shared" si="1"/>
        <v>115</v>
      </c>
      <c r="AF5" s="13">
        <f t="shared" si="1"/>
        <v>120</v>
      </c>
      <c r="AG5" s="13">
        <f t="shared" si="1"/>
        <v>125</v>
      </c>
      <c r="AH5" s="13">
        <f t="shared" si="1"/>
        <v>130</v>
      </c>
      <c r="AI5" s="13">
        <f t="shared" si="1"/>
        <v>135</v>
      </c>
      <c r="AJ5" s="13">
        <f t="shared" si="1"/>
        <v>140</v>
      </c>
      <c r="AK5" s="13">
        <f t="shared" si="1"/>
        <v>145</v>
      </c>
      <c r="AL5" s="13">
        <f t="shared" si="1"/>
        <v>150</v>
      </c>
      <c r="AM5" s="13">
        <f t="shared" si="1"/>
        <v>155</v>
      </c>
      <c r="AN5" s="13">
        <f t="shared" si="1"/>
        <v>160</v>
      </c>
      <c r="AO5" s="13">
        <f t="shared" si="1"/>
        <v>165</v>
      </c>
    </row>
    <row r="6" spans="2:41" ht="19.899999999999999" customHeight="1" x14ac:dyDescent="0.3">
      <c r="B6" s="15" t="s">
        <v>9</v>
      </c>
      <c r="C6" s="18">
        <v>5</v>
      </c>
      <c r="D6" s="7"/>
      <c r="G6" s="7"/>
      <c r="I6" s="16" t="s">
        <v>12</v>
      </c>
      <c r="J6" s="20">
        <v>5</v>
      </c>
      <c r="K6" s="13">
        <f t="shared" ref="K6:AO6" si="2">J6+step</f>
        <v>10</v>
      </c>
      <c r="L6" s="13">
        <f t="shared" si="2"/>
        <v>15</v>
      </c>
      <c r="M6" s="13">
        <f t="shared" si="2"/>
        <v>20</v>
      </c>
      <c r="N6" s="13">
        <f t="shared" si="2"/>
        <v>25</v>
      </c>
      <c r="O6" s="13">
        <f t="shared" si="2"/>
        <v>30</v>
      </c>
      <c r="P6" s="13">
        <f t="shared" si="2"/>
        <v>35</v>
      </c>
      <c r="Q6" s="13">
        <f t="shared" si="2"/>
        <v>40</v>
      </c>
      <c r="R6" s="13">
        <f t="shared" si="2"/>
        <v>45</v>
      </c>
      <c r="S6" s="13">
        <f t="shared" si="2"/>
        <v>50</v>
      </c>
      <c r="T6" s="13">
        <f t="shared" si="2"/>
        <v>55</v>
      </c>
      <c r="U6" s="13">
        <f t="shared" si="2"/>
        <v>60</v>
      </c>
      <c r="V6" s="13">
        <f t="shared" si="2"/>
        <v>65</v>
      </c>
      <c r="W6" s="13">
        <f t="shared" si="2"/>
        <v>70</v>
      </c>
      <c r="X6" s="13">
        <f t="shared" si="2"/>
        <v>75</v>
      </c>
      <c r="Y6" s="13">
        <f t="shared" si="2"/>
        <v>80</v>
      </c>
      <c r="Z6" s="13">
        <f t="shared" si="2"/>
        <v>85</v>
      </c>
      <c r="AA6" s="13">
        <f t="shared" si="2"/>
        <v>90</v>
      </c>
      <c r="AB6" s="13">
        <f t="shared" si="2"/>
        <v>95</v>
      </c>
      <c r="AC6" s="13">
        <f t="shared" si="2"/>
        <v>100</v>
      </c>
      <c r="AD6" s="13">
        <f t="shared" si="2"/>
        <v>105</v>
      </c>
      <c r="AE6" s="13">
        <f t="shared" si="2"/>
        <v>110</v>
      </c>
      <c r="AF6" s="13">
        <f t="shared" si="2"/>
        <v>115</v>
      </c>
      <c r="AG6" s="13">
        <f t="shared" si="2"/>
        <v>120</v>
      </c>
      <c r="AH6" s="13">
        <f t="shared" si="2"/>
        <v>125</v>
      </c>
      <c r="AI6" s="13">
        <f t="shared" si="2"/>
        <v>130</v>
      </c>
      <c r="AJ6" s="13">
        <f t="shared" si="2"/>
        <v>135</v>
      </c>
      <c r="AK6" s="13">
        <f t="shared" si="2"/>
        <v>140</v>
      </c>
      <c r="AL6" s="13">
        <f t="shared" si="2"/>
        <v>145</v>
      </c>
      <c r="AM6" s="13">
        <f t="shared" si="2"/>
        <v>150</v>
      </c>
      <c r="AN6" s="13">
        <f t="shared" si="2"/>
        <v>155</v>
      </c>
      <c r="AO6" s="13">
        <f t="shared" si="2"/>
        <v>160</v>
      </c>
    </row>
    <row r="7" spans="2:41" ht="19.899999999999999" customHeight="1" x14ac:dyDescent="0.25">
      <c r="H7" s="192" t="s">
        <v>15</v>
      </c>
      <c r="I7" s="5" t="s">
        <v>10</v>
      </c>
      <c r="J7" s="3">
        <f>COUNTIFS($E$14:$E$504,"&gt;"&amp;J$6,$E$14:$E$504,"&lt;="&amp;J$5)</f>
        <v>3</v>
      </c>
      <c r="K7" s="3">
        <f t="shared" ref="K7:AO7" si="3">COUNTIFS($E$14:$E$504,"&gt;"&amp;K$6,$E$14:$E$504,"&lt;="&amp;K$5)</f>
        <v>9</v>
      </c>
      <c r="L7" s="3">
        <f t="shared" si="3"/>
        <v>7</v>
      </c>
      <c r="M7" s="3">
        <f t="shared" si="3"/>
        <v>20</v>
      </c>
      <c r="N7" s="3">
        <f t="shared" si="3"/>
        <v>27</v>
      </c>
      <c r="O7" s="3">
        <f t="shared" si="3"/>
        <v>34</v>
      </c>
      <c r="P7" s="3">
        <f t="shared" si="3"/>
        <v>45</v>
      </c>
      <c r="Q7" s="3">
        <f t="shared" si="3"/>
        <v>52</v>
      </c>
      <c r="R7" s="3">
        <f t="shared" si="3"/>
        <v>47</v>
      </c>
      <c r="S7" s="3">
        <f t="shared" si="3"/>
        <v>54</v>
      </c>
      <c r="T7" s="3">
        <f t="shared" si="3"/>
        <v>39</v>
      </c>
      <c r="U7" s="3">
        <f t="shared" si="3"/>
        <v>49</v>
      </c>
      <c r="V7" s="3">
        <f t="shared" si="3"/>
        <v>29</v>
      </c>
      <c r="W7" s="3">
        <f t="shared" si="3"/>
        <v>25</v>
      </c>
      <c r="X7" s="3">
        <f t="shared" si="3"/>
        <v>22</v>
      </c>
      <c r="Y7" s="3">
        <f t="shared" si="3"/>
        <v>13</v>
      </c>
      <c r="Z7" s="3">
        <f t="shared" si="3"/>
        <v>5</v>
      </c>
      <c r="AA7" s="3">
        <f t="shared" si="3"/>
        <v>4</v>
      </c>
      <c r="AB7" s="3">
        <f t="shared" si="3"/>
        <v>3</v>
      </c>
      <c r="AC7" s="3">
        <f t="shared" si="3"/>
        <v>0</v>
      </c>
      <c r="AD7" s="3">
        <f t="shared" si="3"/>
        <v>1</v>
      </c>
      <c r="AE7" s="3">
        <f t="shared" si="3"/>
        <v>0</v>
      </c>
      <c r="AF7" s="3">
        <f t="shared" si="3"/>
        <v>0</v>
      </c>
      <c r="AG7" s="3">
        <f t="shared" si="3"/>
        <v>0</v>
      </c>
      <c r="AH7" s="3">
        <f t="shared" si="3"/>
        <v>0</v>
      </c>
      <c r="AI7" s="3">
        <f t="shared" si="3"/>
        <v>0</v>
      </c>
      <c r="AJ7" s="3">
        <f t="shared" si="3"/>
        <v>0</v>
      </c>
      <c r="AK7" s="3">
        <f t="shared" si="3"/>
        <v>0</v>
      </c>
      <c r="AL7" s="3">
        <f t="shared" si="3"/>
        <v>0</v>
      </c>
      <c r="AM7" s="3">
        <f t="shared" si="3"/>
        <v>0</v>
      </c>
      <c r="AN7" s="3">
        <f t="shared" si="3"/>
        <v>0</v>
      </c>
      <c r="AO7" s="3">
        <f t="shared" si="3"/>
        <v>0</v>
      </c>
    </row>
    <row r="8" spans="2:41" ht="19.899999999999999" customHeight="1" x14ac:dyDescent="0.25">
      <c r="H8" s="192"/>
      <c r="I8" s="5" t="s">
        <v>11</v>
      </c>
      <c r="J8" s="3">
        <f>COUNTIFS($F$14:$F$504,"&gt;"&amp;J$6,$F$14:$F$504,"&lt;="&amp;J$5)</f>
        <v>0</v>
      </c>
      <c r="K8" s="3">
        <f t="shared" ref="K8:AO8" si="4">COUNTIFS($F$14:$F$504,"&gt;"&amp;K$6,$F$14:$F$504,"&lt;="&amp;K$5)</f>
        <v>0</v>
      </c>
      <c r="L8" s="3">
        <f t="shared" si="4"/>
        <v>0</v>
      </c>
      <c r="M8" s="3">
        <f t="shared" si="4"/>
        <v>0</v>
      </c>
      <c r="N8" s="3">
        <f t="shared" si="4"/>
        <v>0</v>
      </c>
      <c r="O8" s="3">
        <f t="shared" si="4"/>
        <v>0</v>
      </c>
      <c r="P8" s="3">
        <f t="shared" si="4"/>
        <v>0</v>
      </c>
      <c r="Q8" s="3">
        <f t="shared" si="4"/>
        <v>0</v>
      </c>
      <c r="R8" s="3">
        <f t="shared" si="4"/>
        <v>0</v>
      </c>
      <c r="S8" s="3">
        <f t="shared" si="4"/>
        <v>0</v>
      </c>
      <c r="T8" s="3">
        <f t="shared" si="4"/>
        <v>0</v>
      </c>
      <c r="U8" s="3">
        <f t="shared" si="4"/>
        <v>0</v>
      </c>
      <c r="V8" s="3">
        <f t="shared" si="4"/>
        <v>0</v>
      </c>
      <c r="W8" s="3">
        <f t="shared" si="4"/>
        <v>2</v>
      </c>
      <c r="X8" s="3">
        <f t="shared" si="4"/>
        <v>3</v>
      </c>
      <c r="Y8" s="3">
        <f t="shared" si="4"/>
        <v>9</v>
      </c>
      <c r="Z8" s="3">
        <f t="shared" si="4"/>
        <v>14</v>
      </c>
      <c r="AA8" s="3">
        <f t="shared" si="4"/>
        <v>35</v>
      </c>
      <c r="AB8" s="3">
        <f t="shared" si="4"/>
        <v>46</v>
      </c>
      <c r="AC8" s="3">
        <f t="shared" si="4"/>
        <v>63</v>
      </c>
      <c r="AD8" s="3">
        <f t="shared" si="4"/>
        <v>61</v>
      </c>
      <c r="AE8" s="3">
        <f t="shared" si="4"/>
        <v>74</v>
      </c>
      <c r="AF8" s="3">
        <f t="shared" si="4"/>
        <v>61</v>
      </c>
      <c r="AG8" s="3">
        <f t="shared" si="4"/>
        <v>54</v>
      </c>
      <c r="AH8" s="3">
        <f t="shared" si="4"/>
        <v>34</v>
      </c>
      <c r="AI8" s="3">
        <f t="shared" si="4"/>
        <v>24</v>
      </c>
      <c r="AJ8" s="3">
        <f t="shared" si="4"/>
        <v>6</v>
      </c>
      <c r="AK8" s="3">
        <f t="shared" si="4"/>
        <v>3</v>
      </c>
      <c r="AL8" s="3">
        <f t="shared" si="4"/>
        <v>2</v>
      </c>
      <c r="AM8" s="3">
        <f t="shared" si="4"/>
        <v>0</v>
      </c>
      <c r="AN8" s="3">
        <f t="shared" si="4"/>
        <v>0</v>
      </c>
      <c r="AO8" s="3">
        <f t="shared" si="4"/>
        <v>0</v>
      </c>
    </row>
    <row r="9" spans="2:41" ht="19.899999999999999" customHeight="1" x14ac:dyDescent="0.3">
      <c r="H9" s="6"/>
      <c r="I9" s="5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1" spans="2:41" ht="19.899999999999999" customHeight="1" thickBot="1" x14ac:dyDescent="0.35">
      <c r="H11" s="19"/>
    </row>
    <row r="12" spans="2:41" ht="19.899999999999999" customHeight="1" x14ac:dyDescent="0.25">
      <c r="C12" s="169" t="s">
        <v>35</v>
      </c>
      <c r="D12" s="170"/>
      <c r="E12" s="169" t="s">
        <v>36</v>
      </c>
      <c r="F12" s="170"/>
      <c r="H12" s="19"/>
    </row>
    <row r="13" spans="2:41" ht="19.899999999999999" customHeight="1" thickBot="1" x14ac:dyDescent="0.3">
      <c r="C13" s="171"/>
      <c r="D13" s="172"/>
      <c r="E13" s="171"/>
      <c r="F13" s="172"/>
    </row>
    <row r="14" spans="2:41" ht="19.899999999999999" customHeight="1" x14ac:dyDescent="0.3">
      <c r="C14" s="31">
        <f t="shared" ref="C14:D33" ca="1" si="5">_xlfn.NORM.INV(RAND(),C$4,C$5)</f>
        <v>84.492920720273219</v>
      </c>
      <c r="D14" s="31">
        <f t="shared" ca="1" si="5"/>
        <v>115.94965897355017</v>
      </c>
      <c r="E14" s="32">
        <v>38.055228820059654</v>
      </c>
      <c r="F14" s="32">
        <v>91.774052161600636</v>
      </c>
      <c r="G14" s="17"/>
    </row>
    <row r="15" spans="2:41" ht="19.899999999999999" customHeight="1" x14ac:dyDescent="0.3">
      <c r="C15" s="31">
        <f t="shared" ca="1" si="5"/>
        <v>11.529489270966259</v>
      </c>
      <c r="D15" s="31">
        <f t="shared" ca="1" si="5"/>
        <v>86.151780005170565</v>
      </c>
      <c r="E15" s="32">
        <v>55.537257875087292</v>
      </c>
      <c r="F15" s="32">
        <v>90.968985405179652</v>
      </c>
      <c r="G15" s="17"/>
    </row>
    <row r="16" spans="2:41" ht="19.899999999999999" customHeight="1" x14ac:dyDescent="0.3">
      <c r="C16" s="31">
        <f t="shared" ca="1" si="5"/>
        <v>63.032793588302795</v>
      </c>
      <c r="D16" s="31">
        <f t="shared" ca="1" si="5"/>
        <v>124.00969651944068</v>
      </c>
      <c r="E16" s="32">
        <v>75.033136110166708</v>
      </c>
      <c r="F16" s="32">
        <v>108.9508783766894</v>
      </c>
      <c r="G16" s="17"/>
    </row>
    <row r="17" spans="3:7" ht="19.899999999999999" customHeight="1" x14ac:dyDescent="0.3">
      <c r="C17" s="31">
        <f t="shared" ca="1" si="5"/>
        <v>57.753894279779253</v>
      </c>
      <c r="D17" s="31">
        <f t="shared" ca="1" si="5"/>
        <v>92.484766749501688</v>
      </c>
      <c r="E17" s="32">
        <v>44.8150254001457</v>
      </c>
      <c r="F17" s="32">
        <v>120.37157170178401</v>
      </c>
      <c r="G17" s="17"/>
    </row>
    <row r="18" spans="3:7" ht="19.899999999999999" customHeight="1" x14ac:dyDescent="0.3">
      <c r="C18" s="31">
        <f t="shared" ca="1" si="5"/>
        <v>61.622813250338687</v>
      </c>
      <c r="D18" s="31">
        <f t="shared" ca="1" si="5"/>
        <v>115.54822377165794</v>
      </c>
      <c r="E18" s="32">
        <v>36.855889505575043</v>
      </c>
      <c r="F18" s="32">
        <v>107.51193190358735</v>
      </c>
      <c r="G18" s="17"/>
    </row>
    <row r="19" spans="3:7" ht="19.899999999999999" customHeight="1" x14ac:dyDescent="0.25">
      <c r="C19" s="31">
        <f t="shared" ca="1" si="5"/>
        <v>50.08824839994876</v>
      </c>
      <c r="D19" s="31">
        <f t="shared" ca="1" si="5"/>
        <v>117.31167463404064</v>
      </c>
      <c r="E19" s="32">
        <v>51.19474691417615</v>
      </c>
      <c r="F19" s="32">
        <v>102.90809117828135</v>
      </c>
      <c r="G19" s="17"/>
    </row>
    <row r="20" spans="3:7" ht="19.899999999999999" customHeight="1" x14ac:dyDescent="0.25">
      <c r="C20" s="31">
        <f t="shared" ca="1" si="5"/>
        <v>47.597333622100223</v>
      </c>
      <c r="D20" s="31">
        <f t="shared" ca="1" si="5"/>
        <v>122.10266202779654</v>
      </c>
      <c r="E20" s="32">
        <v>98.659589471067974</v>
      </c>
      <c r="F20" s="32">
        <v>137.05708471349962</v>
      </c>
      <c r="G20" s="17"/>
    </row>
    <row r="21" spans="3:7" ht="19.899999999999999" customHeight="1" x14ac:dyDescent="0.25">
      <c r="C21" s="31">
        <f t="shared" ca="1" si="5"/>
        <v>28.547656513022211</v>
      </c>
      <c r="D21" s="31">
        <f t="shared" ca="1" si="5"/>
        <v>88.98760456525703</v>
      </c>
      <c r="E21" s="32">
        <v>49.984947592526709</v>
      </c>
      <c r="F21" s="32">
        <v>114.17942038115709</v>
      </c>
      <c r="G21" s="17"/>
    </row>
    <row r="22" spans="3:7" ht="19.899999999999999" customHeight="1" x14ac:dyDescent="0.25">
      <c r="C22" s="31">
        <f t="shared" ca="1" si="5"/>
        <v>48.245735601928274</v>
      </c>
      <c r="D22" s="31">
        <f t="shared" ca="1" si="5"/>
        <v>103.35208717185527</v>
      </c>
      <c r="E22" s="32">
        <v>46.443120907573153</v>
      </c>
      <c r="F22" s="32">
        <v>126.18078897234739</v>
      </c>
      <c r="G22" s="17"/>
    </row>
    <row r="23" spans="3:7" ht="19.899999999999999" customHeight="1" x14ac:dyDescent="0.25">
      <c r="C23" s="31">
        <f t="shared" ca="1" si="5"/>
        <v>52.729973350189368</v>
      </c>
      <c r="D23" s="31">
        <f t="shared" ca="1" si="5"/>
        <v>116.75445221840813</v>
      </c>
      <c r="E23" s="32">
        <v>20.381113847455627</v>
      </c>
      <c r="F23" s="32">
        <v>117.29525579519849</v>
      </c>
      <c r="G23" s="17"/>
    </row>
    <row r="24" spans="3:7" ht="19.899999999999999" customHeight="1" x14ac:dyDescent="0.25">
      <c r="C24" s="31">
        <f t="shared" ca="1" si="5"/>
        <v>90.748314167629843</v>
      </c>
      <c r="D24" s="31">
        <f t="shared" ca="1" si="5"/>
        <v>110.20828467327473</v>
      </c>
      <c r="E24" s="32">
        <v>29.99510613724776</v>
      </c>
      <c r="F24" s="32">
        <v>118.48431346618158</v>
      </c>
      <c r="G24" s="17"/>
    </row>
    <row r="25" spans="3:7" ht="19.899999999999999" customHeight="1" x14ac:dyDescent="0.25">
      <c r="C25" s="31">
        <f t="shared" ca="1" si="5"/>
        <v>80.00854489530623</v>
      </c>
      <c r="D25" s="31">
        <f t="shared" ca="1" si="5"/>
        <v>95.32395731296667</v>
      </c>
      <c r="E25" s="32">
        <v>22.713145618218366</v>
      </c>
      <c r="F25" s="32">
        <v>107.35768989132671</v>
      </c>
      <c r="G25" s="17"/>
    </row>
    <row r="26" spans="3:7" ht="19.899999999999999" customHeight="1" x14ac:dyDescent="0.25">
      <c r="C26" s="31">
        <f t="shared" ca="1" si="5"/>
        <v>43.422618889491424</v>
      </c>
      <c r="D26" s="31">
        <f t="shared" ca="1" si="5"/>
        <v>108.40987448845578</v>
      </c>
      <c r="E26" s="32">
        <v>38.151463972377769</v>
      </c>
      <c r="F26" s="32">
        <v>109.91984260071348</v>
      </c>
      <c r="G26" s="17"/>
    </row>
    <row r="27" spans="3:7" ht="19.899999999999999" customHeight="1" x14ac:dyDescent="0.25">
      <c r="C27" s="31">
        <f t="shared" ca="1" si="5"/>
        <v>64.015216795291579</v>
      </c>
      <c r="D27" s="31">
        <f t="shared" ca="1" si="5"/>
        <v>113.863408744444</v>
      </c>
      <c r="E27" s="32">
        <v>45.075903528300955</v>
      </c>
      <c r="F27" s="32">
        <v>114.25850289461897</v>
      </c>
      <c r="G27" s="17"/>
    </row>
    <row r="28" spans="3:7" ht="19.899999999999999" customHeight="1" x14ac:dyDescent="0.25">
      <c r="C28" s="31">
        <f t="shared" ca="1" si="5"/>
        <v>28.85873445558634</v>
      </c>
      <c r="D28" s="31">
        <f t="shared" ca="1" si="5"/>
        <v>140.26308203629134</v>
      </c>
      <c r="E28" s="32">
        <v>36.671936061649056</v>
      </c>
      <c r="F28" s="32">
        <v>102.1921735813934</v>
      </c>
      <c r="G28" s="17"/>
    </row>
    <row r="29" spans="3:7" ht="19.899999999999999" customHeight="1" x14ac:dyDescent="0.25">
      <c r="C29" s="31">
        <f t="shared" ca="1" si="5"/>
        <v>67.261236922449385</v>
      </c>
      <c r="D29" s="31">
        <f t="shared" ca="1" si="5"/>
        <v>74.503573014546845</v>
      </c>
      <c r="E29" s="32">
        <v>25.735200781101085</v>
      </c>
      <c r="F29" s="32">
        <v>104.52833813500195</v>
      </c>
      <c r="G29" s="17"/>
    </row>
    <row r="30" spans="3:7" ht="19.899999999999999" customHeight="1" x14ac:dyDescent="0.25">
      <c r="C30" s="31">
        <f t="shared" ca="1" si="5"/>
        <v>79.531527510334115</v>
      </c>
      <c r="D30" s="31">
        <f t="shared" ca="1" si="5"/>
        <v>118.00700856587281</v>
      </c>
      <c r="E30" s="32">
        <v>47.003172525542283</v>
      </c>
      <c r="F30" s="32">
        <v>92.18759215732419</v>
      </c>
      <c r="G30" s="17"/>
    </row>
    <row r="31" spans="3:7" ht="19.899999999999999" customHeight="1" x14ac:dyDescent="0.25">
      <c r="C31" s="31">
        <f t="shared" ca="1" si="5"/>
        <v>39.560865341098008</v>
      </c>
      <c r="D31" s="31">
        <f t="shared" ca="1" si="5"/>
        <v>108.10774201243682</v>
      </c>
      <c r="E31" s="32">
        <v>78.932386672712255</v>
      </c>
      <c r="F31" s="32">
        <v>115.43497188983379</v>
      </c>
      <c r="G31" s="17"/>
    </row>
    <row r="32" spans="3:7" ht="19.899999999999999" customHeight="1" x14ac:dyDescent="0.25">
      <c r="C32" s="31">
        <f t="shared" ca="1" si="5"/>
        <v>45.475061131556267</v>
      </c>
      <c r="D32" s="31">
        <f t="shared" ca="1" si="5"/>
        <v>140.57148608645915</v>
      </c>
      <c r="E32" s="32">
        <v>32.237855264770047</v>
      </c>
      <c r="F32" s="32">
        <v>121.05745274137412</v>
      </c>
      <c r="G32" s="17"/>
    </row>
    <row r="33" spans="3:7" ht="19.899999999999999" customHeight="1" x14ac:dyDescent="0.25">
      <c r="C33" s="31">
        <f t="shared" ca="1" si="5"/>
        <v>62.214909497044509</v>
      </c>
      <c r="D33" s="31">
        <f t="shared" ca="1" si="5"/>
        <v>128.70266692429084</v>
      </c>
      <c r="E33" s="32">
        <v>43.032932813250525</v>
      </c>
      <c r="F33" s="32">
        <v>116.10402498253539</v>
      </c>
      <c r="G33" s="17"/>
    </row>
    <row r="34" spans="3:7" ht="19.899999999999999" customHeight="1" x14ac:dyDescent="0.25">
      <c r="C34" s="31">
        <f t="shared" ref="C34:D53" ca="1" si="6">_xlfn.NORM.INV(RAND(),C$4,C$5)</f>
        <v>41.60097214657722</v>
      </c>
      <c r="D34" s="31">
        <f t="shared" ca="1" si="6"/>
        <v>118.06935107417351</v>
      </c>
      <c r="E34" s="32">
        <v>36.076653961573086</v>
      </c>
      <c r="F34" s="32">
        <v>103.46879508318766</v>
      </c>
      <c r="G34" s="17"/>
    </row>
    <row r="35" spans="3:7" ht="19.899999999999999" customHeight="1" x14ac:dyDescent="0.25">
      <c r="C35" s="31">
        <f t="shared" ca="1" si="6"/>
        <v>37.067215378812918</v>
      </c>
      <c r="D35" s="31">
        <f t="shared" ca="1" si="6"/>
        <v>106.80239528614958</v>
      </c>
      <c r="E35" s="32">
        <v>32.051094135756543</v>
      </c>
      <c r="F35" s="32">
        <v>141.28628639049813</v>
      </c>
      <c r="G35" s="17"/>
    </row>
    <row r="36" spans="3:7" ht="19.899999999999999" customHeight="1" x14ac:dyDescent="0.25">
      <c r="C36" s="31">
        <f t="shared" ca="1" si="6"/>
        <v>58.40273622637924</v>
      </c>
      <c r="D36" s="31">
        <f t="shared" ca="1" si="6"/>
        <v>111.34301821751585</v>
      </c>
      <c r="E36" s="32">
        <v>64.757415057921477</v>
      </c>
      <c r="F36" s="32">
        <v>122.41234737252567</v>
      </c>
      <c r="G36" s="17"/>
    </row>
    <row r="37" spans="3:7" ht="19.899999999999999" customHeight="1" x14ac:dyDescent="0.25">
      <c r="C37" s="31">
        <f t="shared" ca="1" si="6"/>
        <v>9.9375589803054964</v>
      </c>
      <c r="D37" s="31">
        <f t="shared" ca="1" si="6"/>
        <v>118.41669866498577</v>
      </c>
      <c r="E37" s="32">
        <v>77.882708816243607</v>
      </c>
      <c r="F37" s="32">
        <v>111.56286482837815</v>
      </c>
      <c r="G37" s="17"/>
    </row>
    <row r="38" spans="3:7" ht="19.899999999999999" customHeight="1" x14ac:dyDescent="0.25">
      <c r="C38" s="31">
        <f t="shared" ca="1" si="6"/>
        <v>47.180600298784405</v>
      </c>
      <c r="D38" s="31">
        <f t="shared" ca="1" si="6"/>
        <v>99.461026735891934</v>
      </c>
      <c r="E38" s="32">
        <v>37.923068518064369</v>
      </c>
      <c r="F38" s="32">
        <v>80.565581948474417</v>
      </c>
      <c r="G38" s="17"/>
    </row>
    <row r="39" spans="3:7" ht="19.899999999999999" customHeight="1" x14ac:dyDescent="0.25">
      <c r="C39" s="31">
        <f t="shared" ca="1" si="6"/>
        <v>51.073462145479937</v>
      </c>
      <c r="D39" s="31">
        <f t="shared" ca="1" si="6"/>
        <v>93.242378601914282</v>
      </c>
      <c r="E39" s="32">
        <v>26.428131790551433</v>
      </c>
      <c r="F39" s="32">
        <v>110.66467872212246</v>
      </c>
      <c r="G39" s="17"/>
    </row>
    <row r="40" spans="3:7" ht="19.899999999999999" customHeight="1" x14ac:dyDescent="0.25">
      <c r="C40" s="31">
        <f t="shared" ca="1" si="6"/>
        <v>55.064399134165797</v>
      </c>
      <c r="D40" s="31">
        <f t="shared" ca="1" si="6"/>
        <v>103.17465856558047</v>
      </c>
      <c r="E40" s="32">
        <v>36.973831410134281</v>
      </c>
      <c r="F40" s="32">
        <v>92.897842565716729</v>
      </c>
      <c r="G40" s="17"/>
    </row>
    <row r="41" spans="3:7" ht="19.899999999999999" customHeight="1" x14ac:dyDescent="0.25">
      <c r="C41" s="31">
        <f t="shared" ca="1" si="6"/>
        <v>38.331246490732482</v>
      </c>
      <c r="D41" s="31">
        <f t="shared" ca="1" si="6"/>
        <v>92.521624206129786</v>
      </c>
      <c r="E41" s="32">
        <v>29.018041101712104</v>
      </c>
      <c r="F41" s="32">
        <v>108.51653468373127</v>
      </c>
      <c r="G41" s="17"/>
    </row>
    <row r="42" spans="3:7" ht="19.899999999999999" customHeight="1" x14ac:dyDescent="0.25">
      <c r="C42" s="31">
        <f t="shared" ca="1" si="6"/>
        <v>7.6754014325209639</v>
      </c>
      <c r="D42" s="31">
        <f t="shared" ca="1" si="6"/>
        <v>107.94269566835665</v>
      </c>
      <c r="E42" s="32">
        <v>78.151215890242469</v>
      </c>
      <c r="F42" s="32">
        <v>147.65842919400725</v>
      </c>
      <c r="G42" s="17"/>
    </row>
    <row r="43" spans="3:7" ht="19.899999999999999" customHeight="1" x14ac:dyDescent="0.25">
      <c r="C43" s="31">
        <f t="shared" ca="1" si="6"/>
        <v>43.406371348683322</v>
      </c>
      <c r="D43" s="31">
        <f t="shared" ca="1" si="6"/>
        <v>107.35245504364688</v>
      </c>
      <c r="E43" s="32">
        <v>46.115681376420468</v>
      </c>
      <c r="F43" s="32">
        <v>95.205600420061643</v>
      </c>
      <c r="G43" s="17"/>
    </row>
    <row r="44" spans="3:7" ht="19.899999999999999" customHeight="1" x14ac:dyDescent="0.25">
      <c r="C44" s="31">
        <f t="shared" ca="1" si="6"/>
        <v>66.628920174076939</v>
      </c>
      <c r="D44" s="31">
        <f t="shared" ca="1" si="6"/>
        <v>114.67865652630238</v>
      </c>
      <c r="E44" s="32">
        <v>42.264989667635263</v>
      </c>
      <c r="F44" s="32">
        <v>108.24449117745185</v>
      </c>
      <c r="G44" s="17"/>
    </row>
    <row r="45" spans="3:7" ht="19.899999999999999" customHeight="1" x14ac:dyDescent="0.25">
      <c r="C45" s="31">
        <f t="shared" ca="1" si="6"/>
        <v>35.704862478866971</v>
      </c>
      <c r="D45" s="31">
        <f t="shared" ca="1" si="6"/>
        <v>106.43595682710037</v>
      </c>
      <c r="E45" s="32">
        <v>42.259458286453736</v>
      </c>
      <c r="F45" s="32">
        <v>124.22972947069917</v>
      </c>
      <c r="G45" s="17"/>
    </row>
    <row r="46" spans="3:7" ht="19.899999999999999" customHeight="1" x14ac:dyDescent="0.25">
      <c r="C46" s="31">
        <f t="shared" ca="1" si="6"/>
        <v>31.309092223324626</v>
      </c>
      <c r="D46" s="31">
        <f t="shared" ca="1" si="6"/>
        <v>90.799035998293107</v>
      </c>
      <c r="E46" s="32">
        <v>66.765883495088787</v>
      </c>
      <c r="F46" s="32">
        <v>108.04755742465463</v>
      </c>
      <c r="G46" s="17"/>
    </row>
    <row r="47" spans="3:7" ht="19.899999999999999" customHeight="1" x14ac:dyDescent="0.25">
      <c r="C47" s="31">
        <f t="shared" ca="1" si="6"/>
        <v>22.428657639937938</v>
      </c>
      <c r="D47" s="31">
        <f t="shared" ca="1" si="6"/>
        <v>112.64807500299399</v>
      </c>
      <c r="E47" s="32">
        <v>84.764823021973427</v>
      </c>
      <c r="F47" s="32">
        <v>101.45347547700405</v>
      </c>
      <c r="G47" s="17"/>
    </row>
    <row r="48" spans="3:7" ht="19.899999999999999" customHeight="1" x14ac:dyDescent="0.25">
      <c r="C48" s="31">
        <f t="shared" ca="1" si="6"/>
        <v>51.45829299701419</v>
      </c>
      <c r="D48" s="31">
        <f t="shared" ca="1" si="6"/>
        <v>121.8072591472253</v>
      </c>
      <c r="E48" s="32">
        <v>35.569219221104625</v>
      </c>
      <c r="F48" s="32">
        <v>119.54833350363532</v>
      </c>
      <c r="G48" s="17"/>
    </row>
    <row r="49" spans="3:7" ht="19.899999999999999" customHeight="1" x14ac:dyDescent="0.25">
      <c r="C49" s="31">
        <f t="shared" ca="1" si="6"/>
        <v>62.283627022763412</v>
      </c>
      <c r="D49" s="31">
        <f t="shared" ca="1" si="6"/>
        <v>115.7158172137356</v>
      </c>
      <c r="E49" s="32">
        <v>78.705252263734963</v>
      </c>
      <c r="F49" s="32">
        <v>121.98504662051991</v>
      </c>
      <c r="G49" s="17"/>
    </row>
    <row r="50" spans="3:7" ht="19.899999999999999" customHeight="1" x14ac:dyDescent="0.25">
      <c r="C50" s="31">
        <f t="shared" ca="1" si="6"/>
        <v>38.98853542318016</v>
      </c>
      <c r="D50" s="31">
        <f t="shared" ca="1" si="6"/>
        <v>99.2825549995638</v>
      </c>
      <c r="E50" s="32">
        <v>54.376170993580978</v>
      </c>
      <c r="F50" s="32">
        <v>99.401167334801201</v>
      </c>
      <c r="G50" s="17"/>
    </row>
    <row r="51" spans="3:7" ht="19.899999999999999" customHeight="1" x14ac:dyDescent="0.25">
      <c r="C51" s="31">
        <f t="shared" ca="1" si="6"/>
        <v>67.255384683056548</v>
      </c>
      <c r="D51" s="31">
        <f t="shared" ca="1" si="6"/>
        <v>105.99948614542862</v>
      </c>
      <c r="E51" s="32">
        <v>46.141503757471767</v>
      </c>
      <c r="F51" s="32">
        <v>131.75168632567141</v>
      </c>
      <c r="G51" s="17"/>
    </row>
    <row r="52" spans="3:7" ht="19.899999999999999" customHeight="1" x14ac:dyDescent="0.25">
      <c r="C52" s="31">
        <f t="shared" ca="1" si="6"/>
        <v>31.739111802205834</v>
      </c>
      <c r="D52" s="31">
        <f t="shared" ca="1" si="6"/>
        <v>91.37710701531087</v>
      </c>
      <c r="E52" s="32">
        <v>22.026322576278623</v>
      </c>
      <c r="F52" s="32">
        <v>98.107667009625104</v>
      </c>
      <c r="G52" s="17"/>
    </row>
    <row r="53" spans="3:7" ht="19.899999999999999" customHeight="1" x14ac:dyDescent="0.25">
      <c r="C53" s="31">
        <f t="shared" ca="1" si="6"/>
        <v>28.73014780724078</v>
      </c>
      <c r="D53" s="31">
        <f t="shared" ca="1" si="6"/>
        <v>122.21904694751531</v>
      </c>
      <c r="E53" s="32">
        <v>51.73690734422663</v>
      </c>
      <c r="F53" s="32">
        <v>113.54076170206118</v>
      </c>
      <c r="G53" s="17"/>
    </row>
    <row r="54" spans="3:7" ht="19.899999999999999" customHeight="1" x14ac:dyDescent="0.25">
      <c r="C54" s="31">
        <f t="shared" ref="C54:D73" ca="1" si="7">_xlfn.NORM.INV(RAND(),C$4,C$5)</f>
        <v>21.461076741907064</v>
      </c>
      <c r="D54" s="31">
        <f t="shared" ca="1" si="7"/>
        <v>114.70531730060335</v>
      </c>
      <c r="E54" s="32">
        <v>50.98313775284872</v>
      </c>
      <c r="F54" s="32">
        <v>120.12123024909795</v>
      </c>
      <c r="G54" s="17"/>
    </row>
    <row r="55" spans="3:7" ht="19.899999999999999" customHeight="1" x14ac:dyDescent="0.25">
      <c r="C55" s="31">
        <f t="shared" ca="1" si="7"/>
        <v>54.133206220676875</v>
      </c>
      <c r="D55" s="31">
        <f t="shared" ca="1" si="7"/>
        <v>90.347271782486587</v>
      </c>
      <c r="E55" s="32">
        <v>80.168987383764005</v>
      </c>
      <c r="F55" s="32">
        <v>103.2611080991409</v>
      </c>
      <c r="G55" s="17"/>
    </row>
    <row r="56" spans="3:7" ht="19.899999999999999" customHeight="1" x14ac:dyDescent="0.25">
      <c r="C56" s="31">
        <f t="shared" ca="1" si="7"/>
        <v>49.33357740102214</v>
      </c>
      <c r="D56" s="31">
        <f t="shared" ca="1" si="7"/>
        <v>128.75260444031235</v>
      </c>
      <c r="E56" s="32">
        <v>64.761302184035131</v>
      </c>
      <c r="F56" s="32">
        <v>97.369816634620335</v>
      </c>
      <c r="G56" s="17"/>
    </row>
    <row r="57" spans="3:7" ht="19.899999999999999" customHeight="1" x14ac:dyDescent="0.25">
      <c r="C57" s="31">
        <f t="shared" ca="1" si="7"/>
        <v>33.765987859152972</v>
      </c>
      <c r="D57" s="31">
        <f t="shared" ca="1" si="7"/>
        <v>98.27487410581233</v>
      </c>
      <c r="E57" s="32">
        <v>68.744326168119457</v>
      </c>
      <c r="F57" s="32">
        <v>116.09741658937835</v>
      </c>
      <c r="G57" s="17"/>
    </row>
    <row r="58" spans="3:7" ht="19.899999999999999" customHeight="1" x14ac:dyDescent="0.25">
      <c r="C58" s="31">
        <f t="shared" ca="1" si="7"/>
        <v>7.9512685920155377</v>
      </c>
      <c r="D58" s="31">
        <f t="shared" ca="1" si="7"/>
        <v>101.13326230393403</v>
      </c>
      <c r="E58" s="32">
        <v>63.5907763244631</v>
      </c>
      <c r="F58" s="32">
        <v>89.2796904485337</v>
      </c>
      <c r="G58" s="17"/>
    </row>
    <row r="59" spans="3:7" ht="19.899999999999999" customHeight="1" x14ac:dyDescent="0.25">
      <c r="C59" s="31">
        <f t="shared" ca="1" si="7"/>
        <v>89.136676716292087</v>
      </c>
      <c r="D59" s="31">
        <f t="shared" ca="1" si="7"/>
        <v>135.71586561225666</v>
      </c>
      <c r="E59" s="32">
        <v>39.44605960230642</v>
      </c>
      <c r="F59" s="32">
        <v>126.55017621420711</v>
      </c>
      <c r="G59" s="17"/>
    </row>
    <row r="60" spans="3:7" ht="19.899999999999999" customHeight="1" x14ac:dyDescent="0.25">
      <c r="C60" s="31">
        <f t="shared" ca="1" si="7"/>
        <v>18.947338905083583</v>
      </c>
      <c r="D60" s="31">
        <f t="shared" ca="1" si="7"/>
        <v>137.16126806408741</v>
      </c>
      <c r="E60" s="32">
        <v>79.074211987419659</v>
      </c>
      <c r="F60" s="32">
        <v>104.7986745808456</v>
      </c>
      <c r="G60" s="17"/>
    </row>
    <row r="61" spans="3:7" ht="19.899999999999999" customHeight="1" x14ac:dyDescent="0.25">
      <c r="C61" s="31">
        <f t="shared" ca="1" si="7"/>
        <v>56.557522344160191</v>
      </c>
      <c r="D61" s="31">
        <f t="shared" ca="1" si="7"/>
        <v>115.12971254009354</v>
      </c>
      <c r="E61" s="32">
        <v>55.951398425113865</v>
      </c>
      <c r="F61" s="32">
        <v>119.30247864162723</v>
      </c>
      <c r="G61" s="17"/>
    </row>
    <row r="62" spans="3:7" ht="19.899999999999999" customHeight="1" x14ac:dyDescent="0.25">
      <c r="C62" s="31">
        <f t="shared" ca="1" si="7"/>
        <v>33.71310103180241</v>
      </c>
      <c r="D62" s="31">
        <f t="shared" ca="1" si="7"/>
        <v>98.916551758149325</v>
      </c>
      <c r="E62" s="32">
        <v>106.50131594486</v>
      </c>
      <c r="F62" s="32">
        <v>98.996974795612644</v>
      </c>
      <c r="G62" s="17"/>
    </row>
    <row r="63" spans="3:7" ht="19.899999999999999" customHeight="1" x14ac:dyDescent="0.25">
      <c r="C63" s="31">
        <f t="shared" ca="1" si="7"/>
        <v>33.767867011173955</v>
      </c>
      <c r="D63" s="31">
        <f t="shared" ca="1" si="7"/>
        <v>115.08215984387998</v>
      </c>
      <c r="E63" s="32">
        <v>49.400060089509303</v>
      </c>
      <c r="F63" s="32">
        <v>128.76113645017099</v>
      </c>
      <c r="G63" s="17"/>
    </row>
    <row r="64" spans="3:7" ht="19.899999999999999" customHeight="1" x14ac:dyDescent="0.25">
      <c r="C64" s="31">
        <f t="shared" ca="1" si="7"/>
        <v>47.29107243902088</v>
      </c>
      <c r="D64" s="31">
        <f t="shared" ca="1" si="7"/>
        <v>117.23102134297299</v>
      </c>
      <c r="E64" s="32">
        <v>61.67628017920353</v>
      </c>
      <c r="F64" s="32">
        <v>105.93323343688257</v>
      </c>
      <c r="G64" s="17"/>
    </row>
    <row r="65" spans="3:7" ht="19.899999999999999" customHeight="1" x14ac:dyDescent="0.25">
      <c r="C65" s="31">
        <f t="shared" ca="1" si="7"/>
        <v>22.66319072012481</v>
      </c>
      <c r="D65" s="31">
        <f t="shared" ca="1" si="7"/>
        <v>79.707757845618403</v>
      </c>
      <c r="E65" s="32">
        <v>83.526251595742508</v>
      </c>
      <c r="F65" s="32">
        <v>109.93324236758529</v>
      </c>
      <c r="G65" s="17"/>
    </row>
    <row r="66" spans="3:7" ht="19.899999999999999" customHeight="1" x14ac:dyDescent="0.25">
      <c r="C66" s="31">
        <f t="shared" ca="1" si="7"/>
        <v>56.548917389738271</v>
      </c>
      <c r="D66" s="31">
        <f t="shared" ca="1" si="7"/>
        <v>118.16149570753267</v>
      </c>
      <c r="E66" s="32">
        <v>41.521359698307663</v>
      </c>
      <c r="F66" s="32">
        <v>128.55194379881013</v>
      </c>
      <c r="G66" s="17"/>
    </row>
    <row r="67" spans="3:7" ht="19.899999999999999" customHeight="1" x14ac:dyDescent="0.25">
      <c r="C67" s="31">
        <f t="shared" ca="1" si="7"/>
        <v>47.589369591293035</v>
      </c>
      <c r="D67" s="31">
        <f t="shared" ca="1" si="7"/>
        <v>83.422049198929273</v>
      </c>
      <c r="E67" s="32">
        <v>52.555780785344602</v>
      </c>
      <c r="F67" s="32">
        <v>96.558730003992352</v>
      </c>
      <c r="G67" s="17"/>
    </row>
    <row r="68" spans="3:7" ht="19.899999999999999" customHeight="1" x14ac:dyDescent="0.25">
      <c r="C68" s="31">
        <f t="shared" ca="1" si="7"/>
        <v>21.205184820356823</v>
      </c>
      <c r="D68" s="31">
        <f t="shared" ca="1" si="7"/>
        <v>108.09217456337592</v>
      </c>
      <c r="E68" s="32">
        <v>15.991437186442674</v>
      </c>
      <c r="F68" s="32">
        <v>105.38419493585529</v>
      </c>
      <c r="G68" s="17"/>
    </row>
    <row r="69" spans="3:7" ht="19.899999999999999" customHeight="1" x14ac:dyDescent="0.25">
      <c r="C69" s="31">
        <f t="shared" ca="1" si="7"/>
        <v>52.678621302235072</v>
      </c>
      <c r="D69" s="31">
        <f t="shared" ca="1" si="7"/>
        <v>105.8480114115371</v>
      </c>
      <c r="E69" s="32">
        <v>44.714717732289422</v>
      </c>
      <c r="F69" s="32">
        <v>111.76826034313855</v>
      </c>
      <c r="G69" s="17"/>
    </row>
    <row r="70" spans="3:7" ht="19.899999999999999" customHeight="1" x14ac:dyDescent="0.25">
      <c r="C70" s="31">
        <f t="shared" ca="1" si="7"/>
        <v>40.427263979866254</v>
      </c>
      <c r="D70" s="31">
        <f t="shared" ca="1" si="7"/>
        <v>118.78154230238512</v>
      </c>
      <c r="E70" s="32">
        <v>38.515326376149446</v>
      </c>
      <c r="F70" s="32">
        <v>117.02586554782192</v>
      </c>
      <c r="G70" s="17"/>
    </row>
    <row r="71" spans="3:7" ht="19.899999999999999" customHeight="1" x14ac:dyDescent="0.25">
      <c r="C71" s="31">
        <f t="shared" ca="1" si="7"/>
        <v>44.495048816265545</v>
      </c>
      <c r="D71" s="31">
        <f t="shared" ca="1" si="7"/>
        <v>132.30321771424337</v>
      </c>
      <c r="E71" s="32">
        <v>31.720257367752627</v>
      </c>
      <c r="F71" s="32">
        <v>119.10485262844125</v>
      </c>
      <c r="G71" s="17"/>
    </row>
    <row r="72" spans="3:7" ht="19.899999999999999" customHeight="1" x14ac:dyDescent="0.25">
      <c r="C72" s="31">
        <f t="shared" ca="1" si="7"/>
        <v>53.668786043439503</v>
      </c>
      <c r="D72" s="31">
        <f t="shared" ca="1" si="7"/>
        <v>109.96496612030606</v>
      </c>
      <c r="E72" s="32">
        <v>66.776683760351915</v>
      </c>
      <c r="F72" s="32">
        <v>106.02115581053737</v>
      </c>
      <c r="G72" s="17"/>
    </row>
    <row r="73" spans="3:7" ht="19.899999999999999" customHeight="1" x14ac:dyDescent="0.25">
      <c r="C73" s="31">
        <f t="shared" ca="1" si="7"/>
        <v>60.668144949595543</v>
      </c>
      <c r="D73" s="31">
        <f t="shared" ca="1" si="7"/>
        <v>132.51128826994929</v>
      </c>
      <c r="E73" s="32">
        <v>29.149099367454557</v>
      </c>
      <c r="F73" s="32">
        <v>90.50530322357929</v>
      </c>
      <c r="G73" s="17"/>
    </row>
    <row r="74" spans="3:7" ht="19.899999999999999" customHeight="1" x14ac:dyDescent="0.25">
      <c r="C74" s="31">
        <f t="shared" ref="C74:D93" ca="1" si="8">_xlfn.NORM.INV(RAND(),C$4,C$5)</f>
        <v>59.292190790914333</v>
      </c>
      <c r="D74" s="31">
        <f t="shared" ca="1" si="8"/>
        <v>106.89569233728652</v>
      </c>
      <c r="E74" s="32">
        <v>-5.1466373533530145</v>
      </c>
      <c r="F74" s="32">
        <v>82.552624909266385</v>
      </c>
      <c r="G74" s="17"/>
    </row>
    <row r="75" spans="3:7" ht="19.899999999999999" customHeight="1" x14ac:dyDescent="0.25">
      <c r="C75" s="31">
        <f t="shared" ca="1" si="8"/>
        <v>82.544490868240786</v>
      </c>
      <c r="D75" s="31">
        <f t="shared" ca="1" si="8"/>
        <v>93.045058542112116</v>
      </c>
      <c r="E75" s="32">
        <v>35.124683799280987</v>
      </c>
      <c r="F75" s="32">
        <v>132.98512400849506</v>
      </c>
      <c r="G75" s="17"/>
    </row>
    <row r="76" spans="3:7" ht="19.899999999999999" customHeight="1" x14ac:dyDescent="0.25">
      <c r="C76" s="31">
        <f t="shared" ca="1" si="8"/>
        <v>35.004919688544327</v>
      </c>
      <c r="D76" s="31">
        <f t="shared" ca="1" si="8"/>
        <v>99.693134676163538</v>
      </c>
      <c r="E76" s="32">
        <v>32.102341827371006</v>
      </c>
      <c r="F76" s="32">
        <v>113.86355398351787</v>
      </c>
      <c r="G76" s="17"/>
    </row>
    <row r="77" spans="3:7" ht="19.899999999999999" customHeight="1" x14ac:dyDescent="0.25">
      <c r="C77" s="31">
        <f t="shared" ca="1" si="8"/>
        <v>12.87089370684221</v>
      </c>
      <c r="D77" s="31">
        <f t="shared" ca="1" si="8"/>
        <v>117.89818791845701</v>
      </c>
      <c r="E77" s="32">
        <v>39.810134036731277</v>
      </c>
      <c r="F77" s="32">
        <v>94.635745629976185</v>
      </c>
      <c r="G77" s="17"/>
    </row>
    <row r="78" spans="3:7" ht="19.899999999999999" customHeight="1" x14ac:dyDescent="0.25">
      <c r="C78" s="31">
        <f t="shared" ca="1" si="8"/>
        <v>38.450486793288555</v>
      </c>
      <c r="D78" s="31">
        <f t="shared" ca="1" si="8"/>
        <v>110.63209099388546</v>
      </c>
      <c r="E78" s="32">
        <v>27.127891756548411</v>
      </c>
      <c r="F78" s="32">
        <v>121.81921717477536</v>
      </c>
      <c r="G78" s="17"/>
    </row>
    <row r="79" spans="3:7" ht="19.899999999999999" customHeight="1" x14ac:dyDescent="0.25">
      <c r="C79" s="31">
        <f t="shared" ca="1" si="8"/>
        <v>72.659234431117298</v>
      </c>
      <c r="D79" s="31">
        <f t="shared" ca="1" si="8"/>
        <v>112.87754093017094</v>
      </c>
      <c r="E79" s="32">
        <v>37.749654881029443</v>
      </c>
      <c r="F79" s="32">
        <v>115.20812270058293</v>
      </c>
      <c r="G79" s="17"/>
    </row>
    <row r="80" spans="3:7" ht="19.899999999999999" customHeight="1" x14ac:dyDescent="0.25">
      <c r="C80" s="31">
        <f t="shared" ca="1" si="8"/>
        <v>34.139678508458836</v>
      </c>
      <c r="D80" s="31">
        <f t="shared" ca="1" si="8"/>
        <v>107.62676638145277</v>
      </c>
      <c r="E80" s="32">
        <v>26.976251068961457</v>
      </c>
      <c r="F80" s="32">
        <v>125.61312901433209</v>
      </c>
      <c r="G80" s="17"/>
    </row>
    <row r="81" spans="3:7" ht="19.899999999999999" customHeight="1" x14ac:dyDescent="0.25">
      <c r="C81" s="31">
        <f t="shared" ca="1" si="8"/>
        <v>44.72893441486633</v>
      </c>
      <c r="D81" s="31">
        <f t="shared" ca="1" si="8"/>
        <v>141.97993741650379</v>
      </c>
      <c r="E81" s="32">
        <v>55.213750482202514</v>
      </c>
      <c r="F81" s="32">
        <v>104.24532759957137</v>
      </c>
      <c r="G81" s="17"/>
    </row>
    <row r="82" spans="3:7" ht="19.899999999999999" customHeight="1" x14ac:dyDescent="0.25">
      <c r="C82" s="31">
        <f t="shared" ca="1" si="8"/>
        <v>38.784435529860637</v>
      </c>
      <c r="D82" s="31">
        <f t="shared" ca="1" si="8"/>
        <v>103.96485088397471</v>
      </c>
      <c r="E82" s="32">
        <v>76.682205887184224</v>
      </c>
      <c r="F82" s="32">
        <v>92.583714803515008</v>
      </c>
      <c r="G82" s="17"/>
    </row>
    <row r="83" spans="3:7" ht="19.899999999999999" customHeight="1" x14ac:dyDescent="0.25">
      <c r="C83" s="31">
        <f t="shared" ca="1" si="8"/>
        <v>30.03613625488763</v>
      </c>
      <c r="D83" s="31">
        <f t="shared" ca="1" si="8"/>
        <v>105.66020040548054</v>
      </c>
      <c r="E83" s="32">
        <v>86.673288704858834</v>
      </c>
      <c r="F83" s="32">
        <v>111.25183002558998</v>
      </c>
      <c r="G83" s="17"/>
    </row>
    <row r="84" spans="3:7" ht="19.899999999999999" customHeight="1" x14ac:dyDescent="0.25">
      <c r="C84" s="31">
        <f t="shared" ca="1" si="8"/>
        <v>64.130228110653505</v>
      </c>
      <c r="D84" s="31">
        <f t="shared" ca="1" si="8"/>
        <v>98.38366124279483</v>
      </c>
      <c r="E84" s="32">
        <v>50.37348348686988</v>
      </c>
      <c r="F84" s="32">
        <v>99.613543869417228</v>
      </c>
      <c r="G84" s="17"/>
    </row>
    <row r="85" spans="3:7" ht="19.899999999999999" customHeight="1" x14ac:dyDescent="0.25">
      <c r="C85" s="31">
        <f t="shared" ca="1" si="8"/>
        <v>50.007874711650025</v>
      </c>
      <c r="D85" s="31">
        <f t="shared" ca="1" si="8"/>
        <v>115.7171002012488</v>
      </c>
      <c r="E85" s="32">
        <v>33.286624205121967</v>
      </c>
      <c r="F85" s="32">
        <v>137.63933571474604</v>
      </c>
      <c r="G85" s="17"/>
    </row>
    <row r="86" spans="3:7" ht="19.899999999999999" customHeight="1" x14ac:dyDescent="0.25">
      <c r="C86" s="31">
        <f t="shared" ca="1" si="8"/>
        <v>48.528391325644904</v>
      </c>
      <c r="D86" s="31">
        <f t="shared" ca="1" si="8"/>
        <v>100.20574354794499</v>
      </c>
      <c r="E86" s="32">
        <v>45.78264068614034</v>
      </c>
      <c r="F86" s="32">
        <v>89.971157317820712</v>
      </c>
      <c r="G86" s="17"/>
    </row>
    <row r="87" spans="3:7" ht="19.899999999999999" customHeight="1" x14ac:dyDescent="0.25">
      <c r="C87" s="31">
        <f t="shared" ca="1" si="8"/>
        <v>69.62102098311567</v>
      </c>
      <c r="D87" s="31">
        <f t="shared" ca="1" si="8"/>
        <v>115.42570734544906</v>
      </c>
      <c r="E87" s="32">
        <v>64.660383823797602</v>
      </c>
      <c r="F87" s="32">
        <v>109.71189514369966</v>
      </c>
      <c r="G87" s="17"/>
    </row>
    <row r="88" spans="3:7" ht="19.899999999999999" customHeight="1" x14ac:dyDescent="0.25">
      <c r="C88" s="31">
        <f t="shared" ca="1" si="8"/>
        <v>64.136747982329439</v>
      </c>
      <c r="D88" s="31">
        <f t="shared" ca="1" si="8"/>
        <v>129.94398588140533</v>
      </c>
      <c r="E88" s="32">
        <v>51.281557313119166</v>
      </c>
      <c r="F88" s="32">
        <v>94.874721816975693</v>
      </c>
      <c r="G88" s="17"/>
    </row>
    <row r="89" spans="3:7" ht="19.899999999999999" customHeight="1" x14ac:dyDescent="0.25">
      <c r="C89" s="31">
        <f t="shared" ca="1" si="8"/>
        <v>51.168055998127478</v>
      </c>
      <c r="D89" s="31">
        <f t="shared" ca="1" si="8"/>
        <v>108.13091002206426</v>
      </c>
      <c r="E89" s="32">
        <v>28.440642317171587</v>
      </c>
      <c r="F89" s="32">
        <v>102.71586502656885</v>
      </c>
      <c r="G89" s="17"/>
    </row>
    <row r="90" spans="3:7" ht="19.899999999999999" customHeight="1" x14ac:dyDescent="0.25">
      <c r="C90" s="31">
        <f t="shared" ca="1" si="8"/>
        <v>48.40874484918222</v>
      </c>
      <c r="D90" s="31">
        <f t="shared" ca="1" si="8"/>
        <v>121.34670870635142</v>
      </c>
      <c r="E90" s="32">
        <v>55.791558672438143</v>
      </c>
      <c r="F90" s="32">
        <v>119.79839399813007</v>
      </c>
      <c r="G90" s="17"/>
    </row>
    <row r="91" spans="3:7" ht="19.899999999999999" customHeight="1" x14ac:dyDescent="0.25">
      <c r="C91" s="31">
        <f t="shared" ca="1" si="8"/>
        <v>55.299141948908805</v>
      </c>
      <c r="D91" s="31">
        <f t="shared" ca="1" si="8"/>
        <v>128.78946386464403</v>
      </c>
      <c r="E91" s="32">
        <v>69.902155744422117</v>
      </c>
      <c r="F91" s="32">
        <v>115.47612319264064</v>
      </c>
      <c r="G91" s="17"/>
    </row>
    <row r="92" spans="3:7" ht="19.899999999999999" customHeight="1" x14ac:dyDescent="0.25">
      <c r="C92" s="31">
        <f t="shared" ca="1" si="8"/>
        <v>75.162149074669415</v>
      </c>
      <c r="D92" s="31">
        <f t="shared" ca="1" si="8"/>
        <v>147.98846105709242</v>
      </c>
      <c r="E92" s="32">
        <v>45.147753900962712</v>
      </c>
      <c r="F92" s="32">
        <v>112.76624207332179</v>
      </c>
      <c r="G92" s="17"/>
    </row>
    <row r="93" spans="3:7" ht="19.899999999999999" customHeight="1" x14ac:dyDescent="0.25">
      <c r="C93" s="31">
        <f t="shared" ca="1" si="8"/>
        <v>41.514710957763832</v>
      </c>
      <c r="D93" s="31">
        <f t="shared" ca="1" si="8"/>
        <v>112.07104393478544</v>
      </c>
      <c r="E93" s="32">
        <v>72.714047062422907</v>
      </c>
      <c r="F93" s="32">
        <v>88.780131020057112</v>
      </c>
      <c r="G93" s="17"/>
    </row>
    <row r="94" spans="3:7" ht="19.899999999999999" customHeight="1" x14ac:dyDescent="0.25">
      <c r="C94" s="31">
        <f t="shared" ref="C94:D113" ca="1" si="9">_xlfn.NORM.INV(RAND(),C$4,C$5)</f>
        <v>71.715250784251339</v>
      </c>
      <c r="D94" s="31">
        <f t="shared" ca="1" si="9"/>
        <v>112.33933834802767</v>
      </c>
      <c r="E94" s="32">
        <v>50.832569812490107</v>
      </c>
      <c r="F94" s="32">
        <v>102.74538190788958</v>
      </c>
      <c r="G94" s="17"/>
    </row>
    <row r="95" spans="3:7" ht="19.899999999999999" customHeight="1" x14ac:dyDescent="0.25">
      <c r="C95" s="31">
        <f t="shared" ca="1" si="9"/>
        <v>16.005913247298864</v>
      </c>
      <c r="D95" s="31">
        <f t="shared" ca="1" si="9"/>
        <v>120.80344139204055</v>
      </c>
      <c r="E95" s="32">
        <v>50.786941552989468</v>
      </c>
      <c r="F95" s="32">
        <v>134.81136379022627</v>
      </c>
      <c r="G95" s="17"/>
    </row>
    <row r="96" spans="3:7" ht="19.899999999999999" customHeight="1" x14ac:dyDescent="0.25">
      <c r="C96" s="31">
        <f t="shared" ca="1" si="9"/>
        <v>41.290084149188949</v>
      </c>
      <c r="D96" s="31">
        <f t="shared" ca="1" si="9"/>
        <v>87.090298834046422</v>
      </c>
      <c r="E96" s="32">
        <v>56.262073379027555</v>
      </c>
      <c r="F96" s="32">
        <v>122.07642793513098</v>
      </c>
      <c r="G96" s="17"/>
    </row>
    <row r="97" spans="3:7" ht="19.899999999999999" customHeight="1" x14ac:dyDescent="0.25">
      <c r="C97" s="31">
        <f t="shared" ca="1" si="9"/>
        <v>14.657104881048234</v>
      </c>
      <c r="D97" s="31">
        <f t="shared" ca="1" si="9"/>
        <v>100.96093311324164</v>
      </c>
      <c r="E97" s="32">
        <v>24.481636803041241</v>
      </c>
      <c r="F97" s="32">
        <v>113.10857087451032</v>
      </c>
      <c r="G97" s="17"/>
    </row>
    <row r="98" spans="3:7" ht="19.899999999999999" customHeight="1" x14ac:dyDescent="0.25">
      <c r="C98" s="31">
        <f t="shared" ca="1" si="9"/>
        <v>26.856609450160192</v>
      </c>
      <c r="D98" s="31">
        <f t="shared" ca="1" si="9"/>
        <v>81.563519697825583</v>
      </c>
      <c r="E98" s="32">
        <v>32.207279535193884</v>
      </c>
      <c r="F98" s="32">
        <v>101.28366526245705</v>
      </c>
      <c r="G98" s="17"/>
    </row>
    <row r="99" spans="3:7" ht="19.899999999999999" customHeight="1" x14ac:dyDescent="0.25">
      <c r="C99" s="31">
        <f t="shared" ca="1" si="9"/>
        <v>58.411643732176671</v>
      </c>
      <c r="D99" s="31">
        <f t="shared" ca="1" si="9"/>
        <v>114.70840001396749</v>
      </c>
      <c r="E99" s="32">
        <v>69.216857505766697</v>
      </c>
      <c r="F99" s="32">
        <v>113.22057508088811</v>
      </c>
      <c r="G99" s="17"/>
    </row>
    <row r="100" spans="3:7" ht="19.899999999999999" customHeight="1" x14ac:dyDescent="0.25">
      <c r="C100" s="31">
        <f t="shared" ca="1" si="9"/>
        <v>34.048034859039419</v>
      </c>
      <c r="D100" s="31">
        <f t="shared" ca="1" si="9"/>
        <v>127.73430612083034</v>
      </c>
      <c r="E100" s="32">
        <v>79.667276161911161</v>
      </c>
      <c r="F100" s="32">
        <v>111.38356388749465</v>
      </c>
      <c r="G100" s="17"/>
    </row>
    <row r="101" spans="3:7" ht="19.899999999999999" customHeight="1" x14ac:dyDescent="0.25">
      <c r="C101" s="31">
        <f t="shared" ca="1" si="9"/>
        <v>33.964567354782361</v>
      </c>
      <c r="D101" s="31">
        <f t="shared" ca="1" si="9"/>
        <v>131.24400551457921</v>
      </c>
      <c r="E101" s="32">
        <v>66.602295614797484</v>
      </c>
      <c r="F101" s="32">
        <v>122.66020125431183</v>
      </c>
      <c r="G101" s="17"/>
    </row>
    <row r="102" spans="3:7" ht="19.899999999999999" customHeight="1" x14ac:dyDescent="0.25">
      <c r="C102" s="31">
        <f t="shared" ca="1" si="9"/>
        <v>56.71250912441355</v>
      </c>
      <c r="D102" s="31">
        <f t="shared" ca="1" si="9"/>
        <v>109.99345896186668</v>
      </c>
      <c r="E102" s="32">
        <v>81.866276120419471</v>
      </c>
      <c r="F102" s="32">
        <v>102.41901005347418</v>
      </c>
      <c r="G102" s="17"/>
    </row>
    <row r="103" spans="3:7" ht="19.899999999999999" customHeight="1" x14ac:dyDescent="0.25">
      <c r="C103" s="31">
        <f t="shared" ca="1" si="9"/>
        <v>83.983269467926036</v>
      </c>
      <c r="D103" s="31">
        <f t="shared" ca="1" si="9"/>
        <v>117.96239749121641</v>
      </c>
      <c r="E103" s="32">
        <v>22.652257291439447</v>
      </c>
      <c r="F103" s="32">
        <v>109.10610001790971</v>
      </c>
      <c r="G103" s="17"/>
    </row>
    <row r="104" spans="3:7" ht="19.899999999999999" customHeight="1" x14ac:dyDescent="0.25">
      <c r="C104" s="31">
        <f t="shared" ca="1" si="9"/>
        <v>57.090173854964597</v>
      </c>
      <c r="D104" s="31">
        <f t="shared" ca="1" si="9"/>
        <v>99.501861191304513</v>
      </c>
      <c r="E104" s="32">
        <v>80.7992029198018</v>
      </c>
      <c r="F104" s="32">
        <v>108.90321236966844</v>
      </c>
      <c r="G104" s="17"/>
    </row>
    <row r="105" spans="3:7" ht="19.899999999999999" customHeight="1" x14ac:dyDescent="0.25">
      <c r="C105" s="31">
        <f t="shared" ca="1" si="9"/>
        <v>56.096205367094832</v>
      </c>
      <c r="D105" s="31">
        <f t="shared" ca="1" si="9"/>
        <v>114.88301221874832</v>
      </c>
      <c r="E105" s="32">
        <v>43.081872195816217</v>
      </c>
      <c r="F105" s="32">
        <v>117.62446901083173</v>
      </c>
      <c r="G105" s="17"/>
    </row>
    <row r="106" spans="3:7" ht="19.899999999999999" customHeight="1" x14ac:dyDescent="0.25">
      <c r="C106" s="31">
        <f t="shared" ca="1" si="9"/>
        <v>35.777227268679631</v>
      </c>
      <c r="D106" s="31">
        <f t="shared" ca="1" si="9"/>
        <v>104.3585324863736</v>
      </c>
      <c r="E106" s="32">
        <v>75.826653069107124</v>
      </c>
      <c r="F106" s="32">
        <v>111.41505149497615</v>
      </c>
      <c r="G106" s="17"/>
    </row>
    <row r="107" spans="3:7" ht="19.899999999999999" customHeight="1" x14ac:dyDescent="0.25">
      <c r="C107" s="31">
        <f t="shared" ca="1" si="9"/>
        <v>56.796648693786011</v>
      </c>
      <c r="D107" s="31">
        <f t="shared" ca="1" si="9"/>
        <v>109.95573349586488</v>
      </c>
      <c r="E107" s="32">
        <v>23.810879710599011</v>
      </c>
      <c r="F107" s="32">
        <v>114.70255341246646</v>
      </c>
      <c r="G107" s="17"/>
    </row>
    <row r="108" spans="3:7" ht="19.899999999999999" customHeight="1" x14ac:dyDescent="0.25">
      <c r="C108" s="31">
        <f t="shared" ca="1" si="9"/>
        <v>61.341137718471039</v>
      </c>
      <c r="D108" s="31">
        <f t="shared" ca="1" si="9"/>
        <v>114.06695667347303</v>
      </c>
      <c r="E108" s="32">
        <v>41.479352322193961</v>
      </c>
      <c r="F108" s="32">
        <v>79.518260516761444</v>
      </c>
      <c r="G108" s="17"/>
    </row>
    <row r="109" spans="3:7" ht="19.899999999999999" customHeight="1" x14ac:dyDescent="0.25">
      <c r="C109" s="31">
        <f t="shared" ca="1" si="9"/>
        <v>30.670006483982522</v>
      </c>
      <c r="D109" s="31">
        <f t="shared" ca="1" si="9"/>
        <v>108.83557567590938</v>
      </c>
      <c r="E109" s="32">
        <v>56.043686392147222</v>
      </c>
      <c r="F109" s="32">
        <v>130.64333821451601</v>
      </c>
      <c r="G109" s="17"/>
    </row>
    <row r="110" spans="3:7" ht="19.899999999999999" customHeight="1" x14ac:dyDescent="0.25">
      <c r="C110" s="31">
        <f t="shared" ca="1" si="9"/>
        <v>50.94291372267584</v>
      </c>
      <c r="D110" s="31">
        <f t="shared" ca="1" si="9"/>
        <v>101.12742878489561</v>
      </c>
      <c r="E110" s="32">
        <v>33.975336083318624</v>
      </c>
      <c r="F110" s="32">
        <v>101.02623307491206</v>
      </c>
      <c r="G110" s="17"/>
    </row>
    <row r="111" spans="3:7" ht="19.899999999999999" customHeight="1" x14ac:dyDescent="0.25">
      <c r="C111" s="31">
        <f t="shared" ca="1" si="9"/>
        <v>26.478593352212116</v>
      </c>
      <c r="D111" s="31">
        <f t="shared" ca="1" si="9"/>
        <v>102.19764942772953</v>
      </c>
      <c r="E111" s="32">
        <v>68.054701664882714</v>
      </c>
      <c r="F111" s="32">
        <v>128.13659783187944</v>
      </c>
      <c r="G111" s="17"/>
    </row>
    <row r="112" spans="3:7" ht="19.899999999999999" customHeight="1" x14ac:dyDescent="0.25">
      <c r="C112" s="31">
        <f t="shared" ca="1" si="9"/>
        <v>42.920337885001217</v>
      </c>
      <c r="D112" s="31">
        <f t="shared" ca="1" si="9"/>
        <v>106.71381201693924</v>
      </c>
      <c r="E112" s="32">
        <v>41.148576954604145</v>
      </c>
      <c r="F112" s="32">
        <v>138.10614149311201</v>
      </c>
      <c r="G112" s="17"/>
    </row>
    <row r="113" spans="3:7" ht="19.899999999999999" customHeight="1" x14ac:dyDescent="0.25">
      <c r="C113" s="31">
        <f t="shared" ca="1" si="9"/>
        <v>67.700149428386013</v>
      </c>
      <c r="D113" s="31">
        <f t="shared" ca="1" si="9"/>
        <v>125.77028913693859</v>
      </c>
      <c r="E113" s="32">
        <v>60.57601443864344</v>
      </c>
      <c r="F113" s="32">
        <v>86.668379864886461</v>
      </c>
      <c r="G113" s="17"/>
    </row>
    <row r="114" spans="3:7" ht="19.899999999999999" customHeight="1" x14ac:dyDescent="0.25">
      <c r="C114" s="31">
        <f t="shared" ref="C114:D133" ca="1" si="10">_xlfn.NORM.INV(RAND(),C$4,C$5)</f>
        <v>52.756552058468273</v>
      </c>
      <c r="D114" s="31">
        <f t="shared" ca="1" si="10"/>
        <v>99.221743058422845</v>
      </c>
      <c r="E114" s="32">
        <v>34.927329500702569</v>
      </c>
      <c r="F114" s="32">
        <v>76.824108422983983</v>
      </c>
      <c r="G114" s="17"/>
    </row>
    <row r="115" spans="3:7" ht="19.899999999999999" customHeight="1" x14ac:dyDescent="0.25">
      <c r="C115" s="31">
        <f t="shared" ca="1" si="10"/>
        <v>50.866222492256703</v>
      </c>
      <c r="D115" s="31">
        <f t="shared" ca="1" si="10"/>
        <v>112.13205145192072</v>
      </c>
      <c r="E115" s="32">
        <v>69.346465102988915</v>
      </c>
      <c r="F115" s="32">
        <v>111.28349323504904</v>
      </c>
      <c r="G115" s="17"/>
    </row>
    <row r="116" spans="3:7" ht="19.899999999999999" customHeight="1" x14ac:dyDescent="0.25">
      <c r="C116" s="31">
        <f t="shared" ca="1" si="10"/>
        <v>43.529347818147912</v>
      </c>
      <c r="D116" s="31">
        <f t="shared" ca="1" si="10"/>
        <v>124.33794083043887</v>
      </c>
      <c r="E116" s="32">
        <v>79.511281006088922</v>
      </c>
      <c r="F116" s="32">
        <v>114.40630926910343</v>
      </c>
      <c r="G116" s="17"/>
    </row>
    <row r="117" spans="3:7" ht="19.899999999999999" customHeight="1" x14ac:dyDescent="0.25">
      <c r="C117" s="31">
        <f t="shared" ca="1" si="10"/>
        <v>50.756408776636569</v>
      </c>
      <c r="D117" s="31">
        <f t="shared" ca="1" si="10"/>
        <v>112.75945555082909</v>
      </c>
      <c r="E117" s="32">
        <v>30.815046860430066</v>
      </c>
      <c r="F117" s="32">
        <v>105.1362722605525</v>
      </c>
      <c r="G117" s="17"/>
    </row>
    <row r="118" spans="3:7" ht="19.899999999999999" customHeight="1" x14ac:dyDescent="0.25">
      <c r="C118" s="31">
        <f t="shared" ca="1" si="10"/>
        <v>56.350605841506614</v>
      </c>
      <c r="D118" s="31">
        <f t="shared" ca="1" si="10"/>
        <v>77.532190486546568</v>
      </c>
      <c r="E118" s="32">
        <v>24.353820732050828</v>
      </c>
      <c r="F118" s="32">
        <v>128.82359065077188</v>
      </c>
      <c r="G118" s="17"/>
    </row>
    <row r="119" spans="3:7" ht="19.899999999999999" customHeight="1" x14ac:dyDescent="0.25">
      <c r="C119" s="31">
        <f t="shared" ca="1" si="10"/>
        <v>67.561021497527818</v>
      </c>
      <c r="D119" s="31">
        <f t="shared" ca="1" si="10"/>
        <v>101.00037996265543</v>
      </c>
      <c r="E119" s="32">
        <v>54.115051816846645</v>
      </c>
      <c r="F119" s="32">
        <v>106.95539446276989</v>
      </c>
      <c r="G119" s="17"/>
    </row>
    <row r="120" spans="3:7" ht="19.899999999999999" customHeight="1" x14ac:dyDescent="0.25">
      <c r="C120" s="31">
        <f t="shared" ca="1" si="10"/>
        <v>56.986662417255303</v>
      </c>
      <c r="D120" s="31">
        <f t="shared" ca="1" si="10"/>
        <v>100.76177868111189</v>
      </c>
      <c r="E120" s="32">
        <v>40.613764453897844</v>
      </c>
      <c r="F120" s="32">
        <v>101.65142052511067</v>
      </c>
      <c r="G120" s="17"/>
    </row>
    <row r="121" spans="3:7" ht="19.899999999999999" customHeight="1" x14ac:dyDescent="0.25">
      <c r="C121" s="31">
        <f t="shared" ca="1" si="10"/>
        <v>94.383402063938007</v>
      </c>
      <c r="D121" s="31">
        <f t="shared" ca="1" si="10"/>
        <v>119.10218463497593</v>
      </c>
      <c r="E121" s="32">
        <v>67.753450404889279</v>
      </c>
      <c r="F121" s="32">
        <v>82.445135329767567</v>
      </c>
      <c r="G121" s="17"/>
    </row>
    <row r="122" spans="3:7" ht="19.899999999999999" customHeight="1" x14ac:dyDescent="0.25">
      <c r="C122" s="31">
        <f t="shared" ca="1" si="10"/>
        <v>44.607409024596258</v>
      </c>
      <c r="D122" s="31">
        <f t="shared" ca="1" si="10"/>
        <v>115.17906150301769</v>
      </c>
      <c r="E122" s="32">
        <v>71.548066970100564</v>
      </c>
      <c r="F122" s="32">
        <v>113.37235288185983</v>
      </c>
      <c r="G122" s="17"/>
    </row>
    <row r="123" spans="3:7" ht="19.899999999999999" customHeight="1" x14ac:dyDescent="0.25">
      <c r="C123" s="31">
        <f t="shared" ca="1" si="10"/>
        <v>41.812832367824335</v>
      </c>
      <c r="D123" s="31">
        <f t="shared" ca="1" si="10"/>
        <v>81.244006767278279</v>
      </c>
      <c r="E123" s="32">
        <v>24.795457963890229</v>
      </c>
      <c r="F123" s="32">
        <v>98.832058612749748</v>
      </c>
      <c r="G123" s="17"/>
    </row>
    <row r="124" spans="3:7" ht="19.899999999999999" customHeight="1" x14ac:dyDescent="0.25">
      <c r="C124" s="31">
        <f t="shared" ca="1" si="10"/>
        <v>75.999885890301854</v>
      </c>
      <c r="D124" s="31">
        <f t="shared" ca="1" si="10"/>
        <v>95.256445971125643</v>
      </c>
      <c r="E124" s="32">
        <v>41.322070011559937</v>
      </c>
      <c r="F124" s="32">
        <v>130.50008219307861</v>
      </c>
      <c r="G124" s="17"/>
    </row>
    <row r="125" spans="3:7" ht="19.899999999999999" customHeight="1" x14ac:dyDescent="0.25">
      <c r="C125" s="31">
        <f t="shared" ca="1" si="10"/>
        <v>30.113388173713233</v>
      </c>
      <c r="D125" s="31">
        <f t="shared" ca="1" si="10"/>
        <v>121.63547886219726</v>
      </c>
      <c r="E125" s="32">
        <v>42.504783346957801</v>
      </c>
      <c r="F125" s="32">
        <v>105.98798470300989</v>
      </c>
      <c r="G125" s="17"/>
    </row>
    <row r="126" spans="3:7" ht="19.899999999999999" customHeight="1" x14ac:dyDescent="0.25">
      <c r="C126" s="31">
        <f t="shared" ca="1" si="10"/>
        <v>42.581766091349053</v>
      </c>
      <c r="D126" s="31">
        <f t="shared" ca="1" si="10"/>
        <v>116.00014324232384</v>
      </c>
      <c r="E126" s="32">
        <v>37.122067296531974</v>
      </c>
      <c r="F126" s="32">
        <v>123.27176747006126</v>
      </c>
      <c r="G126" s="17"/>
    </row>
    <row r="127" spans="3:7" ht="19.899999999999999" customHeight="1" x14ac:dyDescent="0.25">
      <c r="C127" s="31">
        <f t="shared" ca="1" si="10"/>
        <v>58.106682900963321</v>
      </c>
      <c r="D127" s="31">
        <f t="shared" ca="1" si="10"/>
        <v>108.64962276027647</v>
      </c>
      <c r="E127" s="32">
        <v>60.96453813137704</v>
      </c>
      <c r="F127" s="32">
        <v>118.2134060340766</v>
      </c>
      <c r="G127" s="17"/>
    </row>
    <row r="128" spans="3:7" ht="19.899999999999999" customHeight="1" x14ac:dyDescent="0.25">
      <c r="C128" s="31">
        <f t="shared" ca="1" si="10"/>
        <v>60.470035658925241</v>
      </c>
      <c r="D128" s="31">
        <f t="shared" ca="1" si="10"/>
        <v>110.01936602948334</v>
      </c>
      <c r="E128" s="32">
        <v>54.05888597967256</v>
      </c>
      <c r="F128" s="32">
        <v>101.19436718958819</v>
      </c>
      <c r="G128" s="17"/>
    </row>
    <row r="129" spans="3:7" ht="19.899999999999999" customHeight="1" x14ac:dyDescent="0.25">
      <c r="C129" s="31">
        <f t="shared" ca="1" si="10"/>
        <v>66.602598633203698</v>
      </c>
      <c r="D129" s="31">
        <f t="shared" ca="1" si="10"/>
        <v>103.27087146482276</v>
      </c>
      <c r="E129" s="32">
        <v>38.365029324826828</v>
      </c>
      <c r="F129" s="32">
        <v>110.08639423030897</v>
      </c>
      <c r="G129" s="17"/>
    </row>
    <row r="130" spans="3:7" ht="19.899999999999999" customHeight="1" x14ac:dyDescent="0.25">
      <c r="C130" s="31">
        <f t="shared" ca="1" si="10"/>
        <v>72.359173030801671</v>
      </c>
      <c r="D130" s="31">
        <f t="shared" ca="1" si="10"/>
        <v>103.31118525010399</v>
      </c>
      <c r="E130" s="32">
        <v>73.178546827719529</v>
      </c>
      <c r="F130" s="32">
        <v>115.2384210509145</v>
      </c>
      <c r="G130" s="17"/>
    </row>
    <row r="131" spans="3:7" ht="19.899999999999999" customHeight="1" x14ac:dyDescent="0.25">
      <c r="C131" s="31">
        <f t="shared" ca="1" si="10"/>
        <v>73.243541165526864</v>
      </c>
      <c r="D131" s="31">
        <f t="shared" ca="1" si="10"/>
        <v>114.66285611275357</v>
      </c>
      <c r="E131" s="32">
        <v>22.439888429186322</v>
      </c>
      <c r="F131" s="32">
        <v>117.43626762082226</v>
      </c>
      <c r="G131" s="17"/>
    </row>
    <row r="132" spans="3:7" ht="19.899999999999999" customHeight="1" x14ac:dyDescent="0.25">
      <c r="C132" s="31">
        <f t="shared" ca="1" si="10"/>
        <v>51.382732567799394</v>
      </c>
      <c r="D132" s="31">
        <f t="shared" ca="1" si="10"/>
        <v>105.69143762802869</v>
      </c>
      <c r="E132" s="32">
        <v>40.035147408669793</v>
      </c>
      <c r="F132" s="32">
        <v>109.66141825666516</v>
      </c>
      <c r="G132" s="17"/>
    </row>
    <row r="133" spans="3:7" ht="19.899999999999999" customHeight="1" x14ac:dyDescent="0.25">
      <c r="C133" s="31">
        <f t="shared" ca="1" si="10"/>
        <v>80.974447612437302</v>
      </c>
      <c r="D133" s="31">
        <f t="shared" ca="1" si="10"/>
        <v>113.76502172686331</v>
      </c>
      <c r="E133" s="32">
        <v>38.350572406454397</v>
      </c>
      <c r="F133" s="32">
        <v>117.04121190321506</v>
      </c>
      <c r="G133" s="17"/>
    </row>
    <row r="134" spans="3:7" ht="19.899999999999999" customHeight="1" x14ac:dyDescent="0.25">
      <c r="C134" s="31">
        <f t="shared" ref="C134:D153" ca="1" si="11">_xlfn.NORM.INV(RAND(),C$4,C$5)</f>
        <v>48.255514228434031</v>
      </c>
      <c r="D134" s="31">
        <f t="shared" ca="1" si="11"/>
        <v>104.62762678217133</v>
      </c>
      <c r="E134" s="32">
        <v>64.906664196677653</v>
      </c>
      <c r="F134" s="32">
        <v>131.80858768320383</v>
      </c>
      <c r="G134" s="17"/>
    </row>
    <row r="135" spans="3:7" ht="19.899999999999999" customHeight="1" x14ac:dyDescent="0.25">
      <c r="C135" s="31">
        <f t="shared" ca="1" si="11"/>
        <v>65.601801048553085</v>
      </c>
      <c r="D135" s="31">
        <f t="shared" ca="1" si="11"/>
        <v>107.09789432826935</v>
      </c>
      <c r="E135" s="32">
        <v>35.701390213836127</v>
      </c>
      <c r="F135" s="32">
        <v>92.171031691967855</v>
      </c>
      <c r="G135" s="17"/>
    </row>
    <row r="136" spans="3:7" ht="19.899999999999999" customHeight="1" x14ac:dyDescent="0.25">
      <c r="C136" s="31">
        <f t="shared" ca="1" si="11"/>
        <v>50.360956184789913</v>
      </c>
      <c r="D136" s="31">
        <f t="shared" ca="1" si="11"/>
        <v>120.90542616632936</v>
      </c>
      <c r="E136" s="32">
        <v>67.151545858920286</v>
      </c>
      <c r="F136" s="32">
        <v>117.77404253305662</v>
      </c>
      <c r="G136" s="17"/>
    </row>
    <row r="137" spans="3:7" ht="19.899999999999999" customHeight="1" x14ac:dyDescent="0.25">
      <c r="C137" s="31">
        <f t="shared" ca="1" si="11"/>
        <v>55.302058836603905</v>
      </c>
      <c r="D137" s="31">
        <f t="shared" ca="1" si="11"/>
        <v>104.36744598551536</v>
      </c>
      <c r="E137" s="32">
        <v>32.237308166085327</v>
      </c>
      <c r="F137" s="32">
        <v>113.79554841831649</v>
      </c>
      <c r="G137" s="17"/>
    </row>
    <row r="138" spans="3:7" ht="19.899999999999999" customHeight="1" x14ac:dyDescent="0.25">
      <c r="C138" s="31">
        <f t="shared" ca="1" si="11"/>
        <v>66.255978486471633</v>
      </c>
      <c r="D138" s="31">
        <f t="shared" ca="1" si="11"/>
        <v>117.6141231718566</v>
      </c>
      <c r="E138" s="32">
        <v>52.234870004199948</v>
      </c>
      <c r="F138" s="32">
        <v>104.24055453171006</v>
      </c>
      <c r="G138" s="17"/>
    </row>
    <row r="139" spans="3:7" ht="19.899999999999999" customHeight="1" x14ac:dyDescent="0.25">
      <c r="C139" s="31">
        <f t="shared" ca="1" si="11"/>
        <v>41.88487881541986</v>
      </c>
      <c r="D139" s="31">
        <f t="shared" ca="1" si="11"/>
        <v>113.25389400278344</v>
      </c>
      <c r="E139" s="32">
        <v>55.981761930960474</v>
      </c>
      <c r="F139" s="32">
        <v>110.3573593744641</v>
      </c>
      <c r="G139" s="17"/>
    </row>
    <row r="140" spans="3:7" ht="19.899999999999999" customHeight="1" x14ac:dyDescent="0.25">
      <c r="C140" s="31">
        <f t="shared" ca="1" si="11"/>
        <v>66.50287560224254</v>
      </c>
      <c r="D140" s="31">
        <f t="shared" ca="1" si="11"/>
        <v>119.96323806915792</v>
      </c>
      <c r="E140" s="32">
        <v>50.563392576895581</v>
      </c>
      <c r="F140" s="32">
        <v>129.1692850994589</v>
      </c>
      <c r="G140" s="17"/>
    </row>
    <row r="141" spans="3:7" ht="19.899999999999999" customHeight="1" x14ac:dyDescent="0.25">
      <c r="C141" s="31">
        <f t="shared" ca="1" si="11"/>
        <v>11.906994571724951</v>
      </c>
      <c r="D141" s="31">
        <f t="shared" ca="1" si="11"/>
        <v>123.56524919018112</v>
      </c>
      <c r="E141" s="32">
        <v>48.088847084317543</v>
      </c>
      <c r="F141" s="32">
        <v>113.10547546513881</v>
      </c>
      <c r="G141" s="17"/>
    </row>
    <row r="142" spans="3:7" ht="19.899999999999999" customHeight="1" x14ac:dyDescent="0.25">
      <c r="C142" s="31">
        <f t="shared" ca="1" si="11"/>
        <v>31.749212999218216</v>
      </c>
      <c r="D142" s="31">
        <f t="shared" ca="1" si="11"/>
        <v>105.50369253855848</v>
      </c>
      <c r="E142" s="32">
        <v>66.429187822512404</v>
      </c>
      <c r="F142" s="32">
        <v>90.334397796142269</v>
      </c>
      <c r="G142" s="17"/>
    </row>
    <row r="143" spans="3:7" ht="19.899999999999999" customHeight="1" x14ac:dyDescent="0.25">
      <c r="C143" s="31">
        <f t="shared" ca="1" si="11"/>
        <v>25.786543881131756</v>
      </c>
      <c r="D143" s="31">
        <f t="shared" ca="1" si="11"/>
        <v>111.33376035129156</v>
      </c>
      <c r="E143" s="32">
        <v>55.867029434361456</v>
      </c>
      <c r="F143" s="32">
        <v>115.65935629413021</v>
      </c>
      <c r="G143" s="17"/>
    </row>
    <row r="144" spans="3:7" ht="19.899999999999999" customHeight="1" x14ac:dyDescent="0.25">
      <c r="C144" s="31">
        <f t="shared" ca="1" si="11"/>
        <v>35.658741614296936</v>
      </c>
      <c r="D144" s="31">
        <f t="shared" ca="1" si="11"/>
        <v>126.61272270455143</v>
      </c>
      <c r="E144" s="32">
        <v>62.405273766975768</v>
      </c>
      <c r="F144" s="32">
        <v>110.54799284655341</v>
      </c>
      <c r="G144" s="17"/>
    </row>
    <row r="145" spans="3:7" ht="19.899999999999999" customHeight="1" x14ac:dyDescent="0.25">
      <c r="C145" s="31">
        <f t="shared" ca="1" si="11"/>
        <v>48.655277009390794</v>
      </c>
      <c r="D145" s="31">
        <f t="shared" ca="1" si="11"/>
        <v>119.08196049199034</v>
      </c>
      <c r="E145" s="32">
        <v>31.253963784586325</v>
      </c>
      <c r="F145" s="32">
        <v>104.22025550250183</v>
      </c>
      <c r="G145" s="17"/>
    </row>
    <row r="146" spans="3:7" ht="19.899999999999999" customHeight="1" x14ac:dyDescent="0.25">
      <c r="C146" s="31">
        <f t="shared" ca="1" si="11"/>
        <v>90.300738248949145</v>
      </c>
      <c r="D146" s="31">
        <f t="shared" ca="1" si="11"/>
        <v>105.47092007741058</v>
      </c>
      <c r="E146" s="32">
        <v>42.704388434736735</v>
      </c>
      <c r="F146" s="32">
        <v>103.70445881416475</v>
      </c>
      <c r="G146" s="17"/>
    </row>
    <row r="147" spans="3:7" ht="19.899999999999999" customHeight="1" x14ac:dyDescent="0.25">
      <c r="C147" s="31">
        <f t="shared" ca="1" si="11"/>
        <v>66.958056991204515</v>
      </c>
      <c r="D147" s="31">
        <f t="shared" ca="1" si="11"/>
        <v>117.7882359208724</v>
      </c>
      <c r="E147" s="32">
        <v>72.941032653417793</v>
      </c>
      <c r="F147" s="32">
        <v>127.23500473636182</v>
      </c>
      <c r="G147" s="17"/>
    </row>
    <row r="148" spans="3:7" ht="19.899999999999999" customHeight="1" x14ac:dyDescent="0.25">
      <c r="C148" s="31">
        <f t="shared" ca="1" si="11"/>
        <v>65.430249696957631</v>
      </c>
      <c r="D148" s="31">
        <f t="shared" ca="1" si="11"/>
        <v>122.3129506993198</v>
      </c>
      <c r="E148" s="32">
        <v>68.126423808394421</v>
      </c>
      <c r="F148" s="32">
        <v>72.880177637243534</v>
      </c>
      <c r="G148" s="17"/>
    </row>
    <row r="149" spans="3:7" ht="19.899999999999999" customHeight="1" x14ac:dyDescent="0.25">
      <c r="C149" s="31">
        <f t="shared" ca="1" si="11"/>
        <v>43.680030350983003</v>
      </c>
      <c r="D149" s="31">
        <f t="shared" ca="1" si="11"/>
        <v>109.21686726847909</v>
      </c>
      <c r="E149" s="32">
        <v>56.885765299121786</v>
      </c>
      <c r="F149" s="32">
        <v>99.622970292760414</v>
      </c>
      <c r="G149" s="17"/>
    </row>
    <row r="150" spans="3:7" ht="19.899999999999999" customHeight="1" x14ac:dyDescent="0.25">
      <c r="C150" s="31">
        <f t="shared" ca="1" si="11"/>
        <v>91.778870215924997</v>
      </c>
      <c r="D150" s="31">
        <f t="shared" ca="1" si="11"/>
        <v>104.55462589827097</v>
      </c>
      <c r="E150" s="32">
        <v>71.028654816067359</v>
      </c>
      <c r="F150" s="32">
        <v>121.73305184322625</v>
      </c>
      <c r="G150" s="17"/>
    </row>
    <row r="151" spans="3:7" ht="19.899999999999999" customHeight="1" x14ac:dyDescent="0.25">
      <c r="C151" s="31">
        <f t="shared" ca="1" si="11"/>
        <v>57.941613058331953</v>
      </c>
      <c r="D151" s="31">
        <f t="shared" ca="1" si="11"/>
        <v>125.25587533602838</v>
      </c>
      <c r="E151" s="32">
        <v>56.423024185981852</v>
      </c>
      <c r="F151" s="32">
        <v>96.248148837974753</v>
      </c>
      <c r="G151" s="17"/>
    </row>
    <row r="152" spans="3:7" ht="19.899999999999999" customHeight="1" x14ac:dyDescent="0.25">
      <c r="C152" s="31">
        <f t="shared" ca="1" si="11"/>
        <v>15.239436999509337</v>
      </c>
      <c r="D152" s="31">
        <f t="shared" ca="1" si="11"/>
        <v>113.19792296352145</v>
      </c>
      <c r="E152" s="32">
        <v>37.192566721229845</v>
      </c>
      <c r="F152" s="32">
        <v>113.57617999361626</v>
      </c>
      <c r="G152" s="17"/>
    </row>
    <row r="153" spans="3:7" ht="19.899999999999999" customHeight="1" x14ac:dyDescent="0.25">
      <c r="C153" s="31">
        <f t="shared" ca="1" si="11"/>
        <v>38.701725640811006</v>
      </c>
      <c r="D153" s="31">
        <f t="shared" ca="1" si="11"/>
        <v>102.41812062799418</v>
      </c>
      <c r="E153" s="32">
        <v>53.845412030157661</v>
      </c>
      <c r="F153" s="32">
        <v>113.48827990469491</v>
      </c>
      <c r="G153" s="17"/>
    </row>
    <row r="154" spans="3:7" ht="19.899999999999999" customHeight="1" x14ac:dyDescent="0.25">
      <c r="C154" s="31">
        <f t="shared" ref="C154:D173" ca="1" si="12">_xlfn.NORM.INV(RAND(),C$4,C$5)</f>
        <v>56.135471217484366</v>
      </c>
      <c r="D154" s="31">
        <f t="shared" ca="1" si="12"/>
        <v>96.220247453067358</v>
      </c>
      <c r="E154" s="32">
        <v>47.268951902880019</v>
      </c>
      <c r="F154" s="32">
        <v>102.6105853469152</v>
      </c>
      <c r="G154" s="17"/>
    </row>
    <row r="155" spans="3:7" ht="19.899999999999999" customHeight="1" x14ac:dyDescent="0.25">
      <c r="C155" s="31">
        <f t="shared" ca="1" si="12"/>
        <v>84.452192953784305</v>
      </c>
      <c r="D155" s="31">
        <f t="shared" ca="1" si="12"/>
        <v>89.99703183111869</v>
      </c>
      <c r="E155" s="32">
        <v>55.771260184446824</v>
      </c>
      <c r="F155" s="32">
        <v>84.612622853011445</v>
      </c>
      <c r="G155" s="17"/>
    </row>
    <row r="156" spans="3:7" ht="19.899999999999999" customHeight="1" x14ac:dyDescent="0.25">
      <c r="C156" s="31">
        <f t="shared" ca="1" si="12"/>
        <v>73.111854795822751</v>
      </c>
      <c r="D156" s="31">
        <f t="shared" ca="1" si="12"/>
        <v>116.22647214910843</v>
      </c>
      <c r="E156" s="32">
        <v>90.002743663878249</v>
      </c>
      <c r="F156" s="32">
        <v>108.98955983113744</v>
      </c>
      <c r="G156" s="17"/>
    </row>
    <row r="157" spans="3:7" ht="19.899999999999999" customHeight="1" x14ac:dyDescent="0.25">
      <c r="C157" s="31">
        <f t="shared" ca="1" si="12"/>
        <v>19.67540836266495</v>
      </c>
      <c r="D157" s="31">
        <f t="shared" ca="1" si="12"/>
        <v>128.01339025439785</v>
      </c>
      <c r="E157" s="32">
        <v>58.069350342447322</v>
      </c>
      <c r="F157" s="32">
        <v>134.7002206999029</v>
      </c>
      <c r="G157" s="17"/>
    </row>
    <row r="158" spans="3:7" ht="19.899999999999999" customHeight="1" x14ac:dyDescent="0.25">
      <c r="C158" s="31">
        <f t="shared" ca="1" si="12"/>
        <v>48.008734607745787</v>
      </c>
      <c r="D158" s="31">
        <f t="shared" ca="1" si="12"/>
        <v>107.0487215993694</v>
      </c>
      <c r="E158" s="32">
        <v>68.373218215096159</v>
      </c>
      <c r="F158" s="32">
        <v>109.69489874502008</v>
      </c>
      <c r="G158" s="17"/>
    </row>
    <row r="159" spans="3:7" ht="19.899999999999999" customHeight="1" x14ac:dyDescent="0.25">
      <c r="C159" s="31">
        <f t="shared" ca="1" si="12"/>
        <v>-13.620894886796677</v>
      </c>
      <c r="D159" s="31">
        <f t="shared" ca="1" si="12"/>
        <v>121.1116538837118</v>
      </c>
      <c r="E159" s="32">
        <v>64.548209363596612</v>
      </c>
      <c r="F159" s="32">
        <v>111.53362972736831</v>
      </c>
      <c r="G159" s="17"/>
    </row>
    <row r="160" spans="3:7" ht="19.899999999999999" customHeight="1" x14ac:dyDescent="0.25">
      <c r="C160" s="31">
        <f t="shared" ca="1" si="12"/>
        <v>53.494183872438036</v>
      </c>
      <c r="D160" s="31">
        <f t="shared" ca="1" si="12"/>
        <v>99.853203303683941</v>
      </c>
      <c r="E160" s="32">
        <v>49.144756878941095</v>
      </c>
      <c r="F160" s="32">
        <v>116.07070309345173</v>
      </c>
      <c r="G160" s="17"/>
    </row>
    <row r="161" spans="3:7" ht="19.899999999999999" customHeight="1" x14ac:dyDescent="0.25">
      <c r="C161" s="31">
        <f t="shared" ca="1" si="12"/>
        <v>51.623164476300495</v>
      </c>
      <c r="D161" s="31">
        <f t="shared" ca="1" si="12"/>
        <v>100.66385986896451</v>
      </c>
      <c r="E161" s="32">
        <v>38.816386986766453</v>
      </c>
      <c r="F161" s="32">
        <v>116.43218106394832</v>
      </c>
      <c r="G161" s="17"/>
    </row>
    <row r="162" spans="3:7" ht="19.899999999999999" customHeight="1" x14ac:dyDescent="0.25">
      <c r="C162" s="31">
        <f t="shared" ca="1" si="12"/>
        <v>55.122041929829535</v>
      </c>
      <c r="D162" s="31">
        <f t="shared" ca="1" si="12"/>
        <v>126.77122391685997</v>
      </c>
      <c r="E162" s="32">
        <v>46.942110979135855</v>
      </c>
      <c r="F162" s="32">
        <v>94.472332508782429</v>
      </c>
      <c r="G162" s="17"/>
    </row>
    <row r="163" spans="3:7" ht="19.899999999999999" customHeight="1" x14ac:dyDescent="0.25">
      <c r="C163" s="31">
        <f t="shared" ca="1" si="12"/>
        <v>59.674869993827272</v>
      </c>
      <c r="D163" s="31">
        <f t="shared" ca="1" si="12"/>
        <v>102.9673539662887</v>
      </c>
      <c r="E163" s="32">
        <v>59.999538691872729</v>
      </c>
      <c r="F163" s="32">
        <v>116.78265331857091</v>
      </c>
      <c r="G163" s="17"/>
    </row>
    <row r="164" spans="3:7" ht="19.899999999999999" customHeight="1" x14ac:dyDescent="0.25">
      <c r="C164" s="31">
        <f t="shared" ca="1" si="12"/>
        <v>51.955942633973891</v>
      </c>
      <c r="D164" s="31">
        <f t="shared" ca="1" si="12"/>
        <v>116.8390956514402</v>
      </c>
      <c r="E164" s="32">
        <v>51.625713218827762</v>
      </c>
      <c r="F164" s="32">
        <v>108.99635624723922</v>
      </c>
      <c r="G164" s="17"/>
    </row>
    <row r="165" spans="3:7" ht="19.899999999999999" customHeight="1" x14ac:dyDescent="0.25">
      <c r="C165" s="31">
        <f t="shared" ca="1" si="12"/>
        <v>42.144429142340712</v>
      </c>
      <c r="D165" s="31">
        <f t="shared" ca="1" si="12"/>
        <v>113.00293176838385</v>
      </c>
      <c r="E165" s="32">
        <v>27.127101171271438</v>
      </c>
      <c r="F165" s="32">
        <v>128.90531303507913</v>
      </c>
      <c r="G165" s="17"/>
    </row>
    <row r="166" spans="3:7" ht="19.899999999999999" customHeight="1" x14ac:dyDescent="0.25">
      <c r="C166" s="31">
        <f t="shared" ca="1" si="12"/>
        <v>60.565754334593393</v>
      </c>
      <c r="D166" s="31">
        <f t="shared" ca="1" si="12"/>
        <v>99.07467327279592</v>
      </c>
      <c r="E166" s="32">
        <v>43.767249953376194</v>
      </c>
      <c r="F166" s="32">
        <v>86.262122305064381</v>
      </c>
      <c r="G166" s="17"/>
    </row>
    <row r="167" spans="3:7" ht="19.899999999999999" customHeight="1" x14ac:dyDescent="0.25">
      <c r="C167" s="31">
        <f t="shared" ca="1" si="12"/>
        <v>67.493356298720201</v>
      </c>
      <c r="D167" s="31">
        <f t="shared" ca="1" si="12"/>
        <v>106.90966989334868</v>
      </c>
      <c r="E167" s="32">
        <v>60.94252530156902</v>
      </c>
      <c r="F167" s="32">
        <v>96.413894278017665</v>
      </c>
      <c r="G167" s="17"/>
    </row>
    <row r="168" spans="3:7" ht="19.899999999999999" customHeight="1" x14ac:dyDescent="0.25">
      <c r="C168" s="31">
        <f t="shared" ca="1" si="12"/>
        <v>41.438944023316893</v>
      </c>
      <c r="D168" s="31">
        <f t="shared" ca="1" si="12"/>
        <v>110.57783249008466</v>
      </c>
      <c r="E168" s="32">
        <v>27.711925597158075</v>
      </c>
      <c r="F168" s="32">
        <v>111.86947631433588</v>
      </c>
      <c r="G168" s="17"/>
    </row>
    <row r="169" spans="3:7" ht="19.899999999999999" customHeight="1" x14ac:dyDescent="0.25">
      <c r="C169" s="31">
        <f t="shared" ca="1" si="12"/>
        <v>64.253568835593626</v>
      </c>
      <c r="D169" s="31">
        <f t="shared" ca="1" si="12"/>
        <v>121.07639104210259</v>
      </c>
      <c r="E169" s="32">
        <v>81.487765033594485</v>
      </c>
      <c r="F169" s="32">
        <v>113.42105473641803</v>
      </c>
      <c r="G169" s="17"/>
    </row>
    <row r="170" spans="3:7" ht="19.899999999999999" customHeight="1" x14ac:dyDescent="0.25">
      <c r="C170" s="31">
        <f t="shared" ca="1" si="12"/>
        <v>50.275966583776615</v>
      </c>
      <c r="D170" s="31">
        <f t="shared" ca="1" si="12"/>
        <v>108.69951494947111</v>
      </c>
      <c r="E170" s="32">
        <v>43.188487588022809</v>
      </c>
      <c r="F170" s="32">
        <v>95.961279288809123</v>
      </c>
      <c r="G170" s="17"/>
    </row>
    <row r="171" spans="3:7" ht="19.899999999999999" customHeight="1" x14ac:dyDescent="0.25">
      <c r="C171" s="31">
        <f t="shared" ca="1" si="12"/>
        <v>57.678852378085196</v>
      </c>
      <c r="D171" s="31">
        <f t="shared" ca="1" si="12"/>
        <v>94.574741965134251</v>
      </c>
      <c r="E171" s="32">
        <v>49.070041567713908</v>
      </c>
      <c r="F171" s="32">
        <v>90.085635495161526</v>
      </c>
      <c r="G171" s="17"/>
    </row>
    <row r="172" spans="3:7" ht="19.899999999999999" customHeight="1" x14ac:dyDescent="0.25">
      <c r="C172" s="31">
        <f t="shared" ca="1" si="12"/>
        <v>27.310479527304434</v>
      </c>
      <c r="D172" s="31">
        <f t="shared" ca="1" si="12"/>
        <v>108.31211768467539</v>
      </c>
      <c r="E172" s="32">
        <v>66.628164345370024</v>
      </c>
      <c r="F172" s="32">
        <v>120.9394189749582</v>
      </c>
      <c r="G172" s="17"/>
    </row>
    <row r="173" spans="3:7" ht="19.899999999999999" customHeight="1" x14ac:dyDescent="0.25">
      <c r="C173" s="31">
        <f t="shared" ca="1" si="12"/>
        <v>54.131496727306711</v>
      </c>
      <c r="D173" s="31">
        <f t="shared" ca="1" si="12"/>
        <v>97.341327448078204</v>
      </c>
      <c r="E173" s="32">
        <v>29.176673196354891</v>
      </c>
      <c r="F173" s="32">
        <v>120.17845218274151</v>
      </c>
      <c r="G173" s="17"/>
    </row>
    <row r="174" spans="3:7" ht="19.899999999999999" customHeight="1" x14ac:dyDescent="0.25">
      <c r="C174" s="31">
        <f t="shared" ref="C174:D193" ca="1" si="13">_xlfn.NORM.INV(RAND(),C$4,C$5)</f>
        <v>38.656523587474396</v>
      </c>
      <c r="D174" s="31">
        <f t="shared" ca="1" si="13"/>
        <v>88.675514174945874</v>
      </c>
      <c r="E174" s="32">
        <v>34.340287707681412</v>
      </c>
      <c r="F174" s="32">
        <v>93.241474897807947</v>
      </c>
      <c r="G174" s="17"/>
    </row>
    <row r="175" spans="3:7" ht="19.899999999999999" customHeight="1" x14ac:dyDescent="0.25">
      <c r="C175" s="31">
        <f t="shared" ca="1" si="13"/>
        <v>41.032258434019681</v>
      </c>
      <c r="D175" s="31">
        <f t="shared" ca="1" si="13"/>
        <v>119.98258719687328</v>
      </c>
      <c r="E175" s="32">
        <v>61.456018283335666</v>
      </c>
      <c r="F175" s="32">
        <v>121.65510214767468</v>
      </c>
      <c r="G175" s="17"/>
    </row>
    <row r="176" spans="3:7" ht="19.899999999999999" customHeight="1" x14ac:dyDescent="0.25">
      <c r="C176" s="31">
        <f t="shared" ca="1" si="13"/>
        <v>56.033683323889321</v>
      </c>
      <c r="D176" s="31">
        <f t="shared" ca="1" si="13"/>
        <v>102.19746719906951</v>
      </c>
      <c r="E176" s="32">
        <v>45.517902777411706</v>
      </c>
      <c r="F176" s="32">
        <v>111.93121130010607</v>
      </c>
      <c r="G176" s="17"/>
    </row>
    <row r="177" spans="3:7" ht="19.899999999999999" customHeight="1" x14ac:dyDescent="0.25">
      <c r="C177" s="31">
        <f t="shared" ca="1" si="13"/>
        <v>68.795569877015254</v>
      </c>
      <c r="D177" s="31">
        <f t="shared" ca="1" si="13"/>
        <v>94.95997416749502</v>
      </c>
      <c r="E177" s="32">
        <v>30.904291796974803</v>
      </c>
      <c r="F177" s="32">
        <v>110.4512097359875</v>
      </c>
      <c r="G177" s="17"/>
    </row>
    <row r="178" spans="3:7" ht="19.899999999999999" customHeight="1" x14ac:dyDescent="0.25">
      <c r="C178" s="31">
        <f t="shared" ca="1" si="13"/>
        <v>63.998787484674203</v>
      </c>
      <c r="D178" s="31">
        <f t="shared" ca="1" si="13"/>
        <v>110.87761817187602</v>
      </c>
      <c r="E178" s="32">
        <v>37.536264719997192</v>
      </c>
      <c r="F178" s="32">
        <v>125.20049708918546</v>
      </c>
      <c r="G178" s="17"/>
    </row>
    <row r="179" spans="3:7" ht="19.899999999999999" customHeight="1" x14ac:dyDescent="0.25">
      <c r="C179" s="31">
        <f t="shared" ca="1" si="13"/>
        <v>49.99107465165222</v>
      </c>
      <c r="D179" s="31">
        <f t="shared" ca="1" si="13"/>
        <v>99.087614833016403</v>
      </c>
      <c r="E179" s="32">
        <v>61.313929606835202</v>
      </c>
      <c r="F179" s="32">
        <v>81.809869505061513</v>
      </c>
      <c r="G179" s="17"/>
    </row>
    <row r="180" spans="3:7" ht="19.899999999999999" customHeight="1" x14ac:dyDescent="0.25">
      <c r="C180" s="31">
        <f t="shared" ca="1" si="13"/>
        <v>49.02052912060153</v>
      </c>
      <c r="D180" s="31">
        <f t="shared" ca="1" si="13"/>
        <v>136.16320101352406</v>
      </c>
      <c r="E180" s="32">
        <v>47.862279876086745</v>
      </c>
      <c r="F180" s="32">
        <v>126.47326119618231</v>
      </c>
      <c r="G180" s="17"/>
    </row>
    <row r="181" spans="3:7" ht="19.899999999999999" customHeight="1" x14ac:dyDescent="0.25">
      <c r="C181" s="31">
        <f t="shared" ca="1" si="13"/>
        <v>37.455721785589567</v>
      </c>
      <c r="D181" s="31">
        <f t="shared" ca="1" si="13"/>
        <v>94.899608618575343</v>
      </c>
      <c r="E181" s="32">
        <v>63.39396352677813</v>
      </c>
      <c r="F181" s="32">
        <v>104.972151378733</v>
      </c>
      <c r="G181" s="17"/>
    </row>
    <row r="182" spans="3:7" ht="19.899999999999999" customHeight="1" x14ac:dyDescent="0.25">
      <c r="C182" s="31">
        <f t="shared" ca="1" si="13"/>
        <v>14.124930982139752</v>
      </c>
      <c r="D182" s="31">
        <f t="shared" ca="1" si="13"/>
        <v>104.928408667563</v>
      </c>
      <c r="E182" s="32">
        <v>43.284211603379909</v>
      </c>
      <c r="F182" s="32">
        <v>91.036791156738374</v>
      </c>
      <c r="G182" s="17"/>
    </row>
    <row r="183" spans="3:7" ht="19.899999999999999" customHeight="1" x14ac:dyDescent="0.25">
      <c r="C183" s="31">
        <f t="shared" ca="1" si="13"/>
        <v>39.891794268105556</v>
      </c>
      <c r="D183" s="31">
        <f t="shared" ca="1" si="13"/>
        <v>124.16304223005457</v>
      </c>
      <c r="E183" s="32">
        <v>60.91675435272488</v>
      </c>
      <c r="F183" s="32">
        <v>115.38529427519151</v>
      </c>
      <c r="G183" s="17"/>
    </row>
    <row r="184" spans="3:7" ht="19.899999999999999" customHeight="1" x14ac:dyDescent="0.25">
      <c r="C184" s="31">
        <f t="shared" ca="1" si="13"/>
        <v>10.996430008676484</v>
      </c>
      <c r="D184" s="31">
        <f t="shared" ca="1" si="13"/>
        <v>115.16562682604508</v>
      </c>
      <c r="E184" s="32">
        <v>77.925038481672061</v>
      </c>
      <c r="F184" s="32">
        <v>91.266153688127133</v>
      </c>
      <c r="G184" s="17"/>
    </row>
    <row r="185" spans="3:7" ht="19.899999999999999" customHeight="1" x14ac:dyDescent="0.25">
      <c r="C185" s="31">
        <f t="shared" ca="1" si="13"/>
        <v>33.85516028971621</v>
      </c>
      <c r="D185" s="31">
        <f t="shared" ca="1" si="13"/>
        <v>113.77464885713836</v>
      </c>
      <c r="E185" s="32">
        <v>15.098922296583176</v>
      </c>
      <c r="F185" s="32">
        <v>105.56943356873701</v>
      </c>
      <c r="G185" s="17"/>
    </row>
    <row r="186" spans="3:7" ht="19.899999999999999" customHeight="1" x14ac:dyDescent="0.25">
      <c r="C186" s="31">
        <f t="shared" ca="1" si="13"/>
        <v>34.058179889443466</v>
      </c>
      <c r="D186" s="31">
        <f t="shared" ca="1" si="13"/>
        <v>103.32547951012209</v>
      </c>
      <c r="E186" s="32">
        <v>54.939594753380852</v>
      </c>
      <c r="F186" s="32">
        <v>103.48843179754176</v>
      </c>
      <c r="G186" s="17"/>
    </row>
    <row r="187" spans="3:7" ht="19.899999999999999" customHeight="1" x14ac:dyDescent="0.25">
      <c r="C187" s="31">
        <f t="shared" ca="1" si="13"/>
        <v>34.489620584521461</v>
      </c>
      <c r="D187" s="31">
        <f t="shared" ca="1" si="13"/>
        <v>89.043750346288746</v>
      </c>
      <c r="E187" s="32">
        <v>28.426035982673003</v>
      </c>
      <c r="F187" s="32">
        <v>105.35305724043445</v>
      </c>
      <c r="G187" s="17"/>
    </row>
    <row r="188" spans="3:7" ht="19.899999999999999" customHeight="1" x14ac:dyDescent="0.25">
      <c r="C188" s="31">
        <f t="shared" ca="1" si="13"/>
        <v>49.269465600513939</v>
      </c>
      <c r="D188" s="31">
        <f t="shared" ca="1" si="13"/>
        <v>111.76898910056406</v>
      </c>
      <c r="E188" s="32">
        <v>78.688530875694326</v>
      </c>
      <c r="F188" s="32">
        <v>110.84917085253922</v>
      </c>
      <c r="G188" s="17"/>
    </row>
    <row r="189" spans="3:7" ht="19.899999999999999" customHeight="1" x14ac:dyDescent="0.25">
      <c r="C189" s="31">
        <f t="shared" ca="1" si="13"/>
        <v>31.337325233042314</v>
      </c>
      <c r="D189" s="31">
        <f t="shared" ca="1" si="13"/>
        <v>128.67148154651724</v>
      </c>
      <c r="E189" s="32">
        <v>34.552817114951225</v>
      </c>
      <c r="F189" s="32">
        <v>130.25585240040752</v>
      </c>
      <c r="G189" s="17"/>
    </row>
    <row r="190" spans="3:7" ht="19.899999999999999" customHeight="1" x14ac:dyDescent="0.25">
      <c r="C190" s="31">
        <f t="shared" ca="1" si="13"/>
        <v>78.95873311560382</v>
      </c>
      <c r="D190" s="31">
        <f t="shared" ca="1" si="13"/>
        <v>110.11842552687166</v>
      </c>
      <c r="E190" s="32">
        <v>71.540150363507465</v>
      </c>
      <c r="F190" s="32">
        <v>96.3411337422434</v>
      </c>
      <c r="G190" s="17"/>
    </row>
    <row r="191" spans="3:7" ht="19.899999999999999" customHeight="1" x14ac:dyDescent="0.25">
      <c r="C191" s="31">
        <f t="shared" ca="1" si="13"/>
        <v>54.311637653947606</v>
      </c>
      <c r="D191" s="31">
        <f t="shared" ca="1" si="13"/>
        <v>115.49591156581131</v>
      </c>
      <c r="E191" s="32">
        <v>54.026087327204976</v>
      </c>
      <c r="F191" s="32">
        <v>122.47288070479593</v>
      </c>
      <c r="G191" s="17"/>
    </row>
    <row r="192" spans="3:7" ht="19.899999999999999" customHeight="1" x14ac:dyDescent="0.25">
      <c r="C192" s="31">
        <f t="shared" ca="1" si="13"/>
        <v>64.756059416840586</v>
      </c>
      <c r="D192" s="31">
        <f t="shared" ca="1" si="13"/>
        <v>118.82941200761343</v>
      </c>
      <c r="E192" s="32">
        <v>60.789987083745217</v>
      </c>
      <c r="F192" s="32">
        <v>95.339735875990698</v>
      </c>
      <c r="G192" s="17"/>
    </row>
    <row r="193" spans="3:7" ht="19.899999999999999" customHeight="1" x14ac:dyDescent="0.25">
      <c r="C193" s="31">
        <f t="shared" ca="1" si="13"/>
        <v>58.694046794032438</v>
      </c>
      <c r="D193" s="31">
        <f t="shared" ca="1" si="13"/>
        <v>110.36234648981973</v>
      </c>
      <c r="E193" s="32">
        <v>49.289632053279362</v>
      </c>
      <c r="F193" s="32">
        <v>129.83418897612827</v>
      </c>
      <c r="G193" s="17"/>
    </row>
    <row r="194" spans="3:7" ht="19.899999999999999" customHeight="1" x14ac:dyDescent="0.25">
      <c r="C194" s="31">
        <f t="shared" ref="C194:D213" ca="1" si="14">_xlfn.NORM.INV(RAND(),C$4,C$5)</f>
        <v>39.691089502288072</v>
      </c>
      <c r="D194" s="31">
        <f t="shared" ca="1" si="14"/>
        <v>110.80028445239219</v>
      </c>
      <c r="E194" s="32">
        <v>93.476336908156043</v>
      </c>
      <c r="F194" s="32">
        <v>114.568033535399</v>
      </c>
      <c r="G194" s="17"/>
    </row>
    <row r="195" spans="3:7" ht="19.899999999999999" customHeight="1" x14ac:dyDescent="0.25">
      <c r="C195" s="31">
        <f t="shared" ca="1" si="14"/>
        <v>48.074134771224585</v>
      </c>
      <c r="D195" s="31">
        <f t="shared" ca="1" si="14"/>
        <v>88.14215609943173</v>
      </c>
      <c r="E195" s="32">
        <v>24.639685854898573</v>
      </c>
      <c r="F195" s="32">
        <v>109.9385272930995</v>
      </c>
      <c r="G195" s="17"/>
    </row>
    <row r="196" spans="3:7" ht="19.899999999999999" customHeight="1" x14ac:dyDescent="0.25">
      <c r="C196" s="31">
        <f t="shared" ca="1" si="14"/>
        <v>71.930089797438029</v>
      </c>
      <c r="D196" s="31">
        <f t="shared" ca="1" si="14"/>
        <v>93.282636536000638</v>
      </c>
      <c r="E196" s="32">
        <v>31.29896075237626</v>
      </c>
      <c r="F196" s="32">
        <v>96.411386557386436</v>
      </c>
      <c r="G196" s="17"/>
    </row>
    <row r="197" spans="3:7" ht="19.899999999999999" customHeight="1" x14ac:dyDescent="0.25">
      <c r="C197" s="31">
        <f t="shared" ca="1" si="14"/>
        <v>60.553966408451039</v>
      </c>
      <c r="D197" s="31">
        <f t="shared" ca="1" si="14"/>
        <v>117.75526084545685</v>
      </c>
      <c r="E197" s="32">
        <v>35.43316692005277</v>
      </c>
      <c r="F197" s="32">
        <v>117.1266848209636</v>
      </c>
      <c r="G197" s="17"/>
    </row>
    <row r="198" spans="3:7" ht="19.899999999999999" customHeight="1" x14ac:dyDescent="0.25">
      <c r="C198" s="31">
        <f t="shared" ca="1" si="14"/>
        <v>62.241748409750336</v>
      </c>
      <c r="D198" s="31">
        <f t="shared" ca="1" si="14"/>
        <v>137.77543007562349</v>
      </c>
      <c r="E198" s="32">
        <v>48.663565237194952</v>
      </c>
      <c r="F198" s="32">
        <v>125.16417820821118</v>
      </c>
      <c r="G198" s="17"/>
    </row>
    <row r="199" spans="3:7" ht="19.899999999999999" customHeight="1" x14ac:dyDescent="0.25">
      <c r="C199" s="31">
        <f t="shared" ca="1" si="14"/>
        <v>38.045835362450262</v>
      </c>
      <c r="D199" s="31">
        <f t="shared" ca="1" si="14"/>
        <v>133.1238986319573</v>
      </c>
      <c r="E199" s="32">
        <v>48.323618181542109</v>
      </c>
      <c r="F199" s="32">
        <v>93.555782667261028</v>
      </c>
      <c r="G199" s="17"/>
    </row>
    <row r="200" spans="3:7" ht="19.899999999999999" customHeight="1" x14ac:dyDescent="0.25">
      <c r="C200" s="31">
        <f t="shared" ca="1" si="14"/>
        <v>88.46135255527301</v>
      </c>
      <c r="D200" s="31">
        <f t="shared" ca="1" si="14"/>
        <v>102.35677160889303</v>
      </c>
      <c r="E200" s="32">
        <v>78.239863459634265</v>
      </c>
      <c r="F200" s="32">
        <v>110.26895071568781</v>
      </c>
      <c r="G200" s="17"/>
    </row>
    <row r="201" spans="3:7" ht="19.899999999999999" customHeight="1" x14ac:dyDescent="0.25">
      <c r="C201" s="31">
        <f t="shared" ca="1" si="14"/>
        <v>51.36416204089452</v>
      </c>
      <c r="D201" s="31">
        <f t="shared" ca="1" si="14"/>
        <v>106.05396841528406</v>
      </c>
      <c r="E201" s="32">
        <v>5.7540804711541611</v>
      </c>
      <c r="F201" s="32">
        <v>104.48773271477751</v>
      </c>
      <c r="G201" s="17"/>
    </row>
    <row r="202" spans="3:7" ht="19.899999999999999" customHeight="1" x14ac:dyDescent="0.25">
      <c r="C202" s="31">
        <f t="shared" ca="1" si="14"/>
        <v>65.451832204821585</v>
      </c>
      <c r="D202" s="31">
        <f t="shared" ca="1" si="14"/>
        <v>116.46659566429287</v>
      </c>
      <c r="E202" s="32">
        <v>61.05439042592387</v>
      </c>
      <c r="F202" s="32">
        <v>107.03322773315098</v>
      </c>
      <c r="G202" s="17"/>
    </row>
    <row r="203" spans="3:7" ht="19.899999999999999" customHeight="1" x14ac:dyDescent="0.25">
      <c r="C203" s="31">
        <f t="shared" ca="1" si="14"/>
        <v>56.320854326394915</v>
      </c>
      <c r="D203" s="31">
        <f t="shared" ca="1" si="14"/>
        <v>112.50221608417797</v>
      </c>
      <c r="E203" s="32">
        <v>33.399780219156916</v>
      </c>
      <c r="F203" s="32">
        <v>119.73326330768141</v>
      </c>
      <c r="G203" s="17"/>
    </row>
    <row r="204" spans="3:7" ht="19.899999999999999" customHeight="1" x14ac:dyDescent="0.25">
      <c r="C204" s="31">
        <f t="shared" ca="1" si="14"/>
        <v>67.891191042992943</v>
      </c>
      <c r="D204" s="31">
        <f t="shared" ca="1" si="14"/>
        <v>117.76706073899892</v>
      </c>
      <c r="E204" s="32">
        <v>24.967823794285803</v>
      </c>
      <c r="F204" s="32">
        <v>90.431577378097572</v>
      </c>
      <c r="G204" s="17"/>
    </row>
    <row r="205" spans="3:7" ht="19.899999999999999" customHeight="1" x14ac:dyDescent="0.25">
      <c r="C205" s="31">
        <f t="shared" ca="1" si="14"/>
        <v>9.925890087646529</v>
      </c>
      <c r="D205" s="31">
        <f t="shared" ca="1" si="14"/>
        <v>129.69033126159178</v>
      </c>
      <c r="E205" s="32">
        <v>46.397912087267578</v>
      </c>
      <c r="F205" s="32">
        <v>117.97973958866626</v>
      </c>
      <c r="G205" s="17"/>
    </row>
    <row r="206" spans="3:7" ht="19.899999999999999" customHeight="1" x14ac:dyDescent="0.25">
      <c r="C206" s="31">
        <f t="shared" ca="1" si="14"/>
        <v>27.236126607026044</v>
      </c>
      <c r="D206" s="31">
        <f t="shared" ca="1" si="14"/>
        <v>106.54001871711502</v>
      </c>
      <c r="E206" s="32">
        <v>48.587601041020555</v>
      </c>
      <c r="F206" s="32">
        <v>121.07755324758685</v>
      </c>
      <c r="G206" s="17"/>
    </row>
    <row r="207" spans="3:7" ht="19.899999999999999" customHeight="1" x14ac:dyDescent="0.25">
      <c r="C207" s="31">
        <f t="shared" ca="1" si="14"/>
        <v>33.752642735489559</v>
      </c>
      <c r="D207" s="31">
        <f t="shared" ca="1" si="14"/>
        <v>114.20218061491903</v>
      </c>
      <c r="E207" s="32">
        <v>54.185027053355874</v>
      </c>
      <c r="F207" s="32">
        <v>82.755742157945718</v>
      </c>
      <c r="G207" s="17"/>
    </row>
    <row r="208" spans="3:7" ht="19.899999999999999" customHeight="1" x14ac:dyDescent="0.25">
      <c r="C208" s="31">
        <f t="shared" ca="1" si="14"/>
        <v>79.05026656610832</v>
      </c>
      <c r="D208" s="31">
        <f t="shared" ca="1" si="14"/>
        <v>139.31051101442793</v>
      </c>
      <c r="E208" s="32">
        <v>50.58289618219122</v>
      </c>
      <c r="F208" s="32">
        <v>121.04198644934543</v>
      </c>
      <c r="G208" s="17"/>
    </row>
    <row r="209" spans="3:7" ht="19.899999999999999" customHeight="1" x14ac:dyDescent="0.25">
      <c r="C209" s="31">
        <f t="shared" ca="1" si="14"/>
        <v>50.827530326530272</v>
      </c>
      <c r="D209" s="31">
        <f t="shared" ca="1" si="14"/>
        <v>89.895720585113509</v>
      </c>
      <c r="E209" s="32">
        <v>60.824204914487183</v>
      </c>
      <c r="F209" s="32">
        <v>101.56790961198058</v>
      </c>
      <c r="G209" s="17"/>
    </row>
    <row r="210" spans="3:7" ht="19.899999999999999" customHeight="1" x14ac:dyDescent="0.25">
      <c r="C210" s="31">
        <f t="shared" ca="1" si="14"/>
        <v>38.129166666255813</v>
      </c>
      <c r="D210" s="31">
        <f t="shared" ca="1" si="14"/>
        <v>101.92839620412282</v>
      </c>
      <c r="E210" s="32">
        <v>43.807919523831778</v>
      </c>
      <c r="F210" s="32">
        <v>130.59830165939297</v>
      </c>
      <c r="G210" s="17"/>
    </row>
    <row r="211" spans="3:7" ht="19.899999999999999" customHeight="1" x14ac:dyDescent="0.25">
      <c r="C211" s="31">
        <f t="shared" ca="1" si="14"/>
        <v>33.279385549866277</v>
      </c>
      <c r="D211" s="31">
        <f t="shared" ca="1" si="14"/>
        <v>119.01364420716322</v>
      </c>
      <c r="E211" s="32">
        <v>53.549271820319554</v>
      </c>
      <c r="F211" s="32">
        <v>98.088679141434667</v>
      </c>
      <c r="G211" s="17"/>
    </row>
    <row r="212" spans="3:7" ht="19.899999999999999" customHeight="1" x14ac:dyDescent="0.25">
      <c r="C212" s="31">
        <f t="shared" ca="1" si="14"/>
        <v>52.994435907011706</v>
      </c>
      <c r="D212" s="31">
        <f t="shared" ca="1" si="14"/>
        <v>97.388903275149175</v>
      </c>
      <c r="E212" s="32">
        <v>42.393455844413474</v>
      </c>
      <c r="F212" s="32">
        <v>96.437932251972882</v>
      </c>
      <c r="G212" s="17"/>
    </row>
    <row r="213" spans="3:7" ht="19.899999999999999" customHeight="1" x14ac:dyDescent="0.25">
      <c r="C213" s="31">
        <f t="shared" ca="1" si="14"/>
        <v>55.145788556519896</v>
      </c>
      <c r="D213" s="31">
        <f t="shared" ca="1" si="14"/>
        <v>105.3016204818522</v>
      </c>
      <c r="E213" s="32">
        <v>44.582160446644629</v>
      </c>
      <c r="F213" s="32">
        <v>104.07277710489694</v>
      </c>
      <c r="G213" s="17"/>
    </row>
    <row r="214" spans="3:7" ht="19.899999999999999" customHeight="1" x14ac:dyDescent="0.25">
      <c r="C214" s="31">
        <f t="shared" ref="C214:D233" ca="1" si="15">_xlfn.NORM.INV(RAND(),C$4,C$5)</f>
        <v>64.761876134986935</v>
      </c>
      <c r="D214" s="31">
        <f t="shared" ca="1" si="15"/>
        <v>130.54037651721373</v>
      </c>
      <c r="E214" s="32">
        <v>66.042177806449956</v>
      </c>
      <c r="F214" s="32">
        <v>109.27379975423169</v>
      </c>
      <c r="G214" s="17"/>
    </row>
    <row r="215" spans="3:7" ht="19.899999999999999" customHeight="1" x14ac:dyDescent="0.25">
      <c r="C215" s="31">
        <f t="shared" ca="1" si="15"/>
        <v>23.77295056141006</v>
      </c>
      <c r="D215" s="31">
        <f t="shared" ca="1" si="15"/>
        <v>124.649442539457</v>
      </c>
      <c r="E215" s="32">
        <v>40.660945482876961</v>
      </c>
      <c r="F215" s="32">
        <v>124.71303274505364</v>
      </c>
      <c r="G215" s="17"/>
    </row>
    <row r="216" spans="3:7" ht="19.899999999999999" customHeight="1" x14ac:dyDescent="0.25">
      <c r="C216" s="31">
        <f t="shared" ca="1" si="15"/>
        <v>61.107043741406642</v>
      </c>
      <c r="D216" s="31">
        <f t="shared" ca="1" si="15"/>
        <v>101.69880058034356</v>
      </c>
      <c r="E216" s="32">
        <v>33.414326422242411</v>
      </c>
      <c r="F216" s="32">
        <v>95.643533660412729</v>
      </c>
      <c r="G216" s="17"/>
    </row>
    <row r="217" spans="3:7" ht="19.899999999999999" customHeight="1" x14ac:dyDescent="0.25">
      <c r="C217" s="31">
        <f t="shared" ca="1" si="15"/>
        <v>59.809968492275168</v>
      </c>
      <c r="D217" s="31">
        <f t="shared" ca="1" si="15"/>
        <v>129.02960919782851</v>
      </c>
      <c r="E217" s="32">
        <v>31.637953746358235</v>
      </c>
      <c r="F217" s="32">
        <v>128.10886940623953</v>
      </c>
      <c r="G217" s="17"/>
    </row>
    <row r="218" spans="3:7" ht="19.899999999999999" customHeight="1" x14ac:dyDescent="0.25">
      <c r="C218" s="31">
        <f t="shared" ca="1" si="15"/>
        <v>55.460980006249059</v>
      </c>
      <c r="D218" s="31">
        <f t="shared" ca="1" si="15"/>
        <v>104.22823071433814</v>
      </c>
      <c r="E218" s="32">
        <v>52.053006158834371</v>
      </c>
      <c r="F218" s="32">
        <v>120.03375597164869</v>
      </c>
      <c r="G218" s="17"/>
    </row>
    <row r="219" spans="3:7" ht="19.899999999999999" customHeight="1" x14ac:dyDescent="0.25">
      <c r="C219" s="31">
        <f t="shared" ca="1" si="15"/>
        <v>61.95619836576909</v>
      </c>
      <c r="D219" s="31">
        <f t="shared" ca="1" si="15"/>
        <v>119.63047546069863</v>
      </c>
      <c r="E219" s="32">
        <v>79.426004733529822</v>
      </c>
      <c r="F219" s="32">
        <v>84.885879677790783</v>
      </c>
      <c r="G219" s="17"/>
    </row>
    <row r="220" spans="3:7" ht="19.899999999999999" customHeight="1" x14ac:dyDescent="0.25">
      <c r="C220" s="31">
        <f t="shared" ca="1" si="15"/>
        <v>66.049175550018589</v>
      </c>
      <c r="D220" s="31">
        <f t="shared" ca="1" si="15"/>
        <v>128.01307183827163</v>
      </c>
      <c r="E220" s="32">
        <v>40.948328994585495</v>
      </c>
      <c r="F220" s="32">
        <v>113.59168562026568</v>
      </c>
      <c r="G220" s="17"/>
    </row>
    <row r="221" spans="3:7" ht="19.899999999999999" customHeight="1" x14ac:dyDescent="0.25">
      <c r="C221" s="31">
        <f t="shared" ca="1" si="15"/>
        <v>72.172096040662581</v>
      </c>
      <c r="D221" s="31">
        <f t="shared" ca="1" si="15"/>
        <v>111.04725065144868</v>
      </c>
      <c r="E221" s="32">
        <v>51.839207359952766</v>
      </c>
      <c r="F221" s="32">
        <v>111.4325272722148</v>
      </c>
      <c r="G221" s="17"/>
    </row>
    <row r="222" spans="3:7" ht="19.899999999999999" customHeight="1" x14ac:dyDescent="0.25">
      <c r="C222" s="31">
        <f t="shared" ca="1" si="15"/>
        <v>64.697355088807981</v>
      </c>
      <c r="D222" s="31">
        <f t="shared" ca="1" si="15"/>
        <v>103.82438279079263</v>
      </c>
      <c r="E222" s="32">
        <v>39.682213964753075</v>
      </c>
      <c r="F222" s="32">
        <v>95.457752079967435</v>
      </c>
      <c r="G222" s="17"/>
    </row>
    <row r="223" spans="3:7" ht="19.899999999999999" customHeight="1" x14ac:dyDescent="0.25">
      <c r="C223" s="31">
        <f t="shared" ca="1" si="15"/>
        <v>27.534082171666729</v>
      </c>
      <c r="D223" s="31">
        <f t="shared" ca="1" si="15"/>
        <v>115.2991333121083</v>
      </c>
      <c r="E223" s="32">
        <v>14.607448765655683</v>
      </c>
      <c r="F223" s="32">
        <v>118.99560114623199</v>
      </c>
      <c r="G223" s="17"/>
    </row>
    <row r="224" spans="3:7" ht="19.899999999999999" customHeight="1" x14ac:dyDescent="0.25">
      <c r="C224" s="31">
        <f t="shared" ca="1" si="15"/>
        <v>62.323152933600447</v>
      </c>
      <c r="D224" s="31">
        <f t="shared" ca="1" si="15"/>
        <v>102.20464057964425</v>
      </c>
      <c r="E224" s="32">
        <v>42.874713110481899</v>
      </c>
      <c r="F224" s="32">
        <v>114.16102362392716</v>
      </c>
      <c r="G224" s="17"/>
    </row>
    <row r="225" spans="3:7" ht="19.899999999999999" customHeight="1" x14ac:dyDescent="0.25">
      <c r="C225" s="31">
        <f t="shared" ca="1" si="15"/>
        <v>49.751463986936308</v>
      </c>
      <c r="D225" s="31">
        <f t="shared" ca="1" si="15"/>
        <v>92.362912027561293</v>
      </c>
      <c r="E225" s="32">
        <v>68.349253490340203</v>
      </c>
      <c r="F225" s="32">
        <v>125.4146605697693</v>
      </c>
      <c r="G225" s="17"/>
    </row>
    <row r="226" spans="3:7" ht="19.899999999999999" customHeight="1" x14ac:dyDescent="0.25">
      <c r="C226" s="31">
        <f t="shared" ca="1" si="15"/>
        <v>43.640611468334342</v>
      </c>
      <c r="D226" s="31">
        <f t="shared" ca="1" si="15"/>
        <v>103.10099972465878</v>
      </c>
      <c r="E226" s="32">
        <v>53.699595823904012</v>
      </c>
      <c r="F226" s="32">
        <v>122.38143363983941</v>
      </c>
      <c r="G226" s="17"/>
    </row>
    <row r="227" spans="3:7" ht="19.899999999999999" customHeight="1" x14ac:dyDescent="0.25">
      <c r="C227" s="31">
        <f t="shared" ca="1" si="15"/>
        <v>83.373389479364732</v>
      </c>
      <c r="D227" s="31">
        <f t="shared" ca="1" si="15"/>
        <v>129.79071467037002</v>
      </c>
      <c r="E227" s="32">
        <v>42.12221189748621</v>
      </c>
      <c r="F227" s="32">
        <v>118.53467399164867</v>
      </c>
      <c r="G227" s="17"/>
    </row>
    <row r="228" spans="3:7" ht="19.899999999999999" customHeight="1" x14ac:dyDescent="0.25">
      <c r="C228" s="31">
        <f t="shared" ca="1" si="15"/>
        <v>12.648653746111293</v>
      </c>
      <c r="D228" s="31">
        <f t="shared" ca="1" si="15"/>
        <v>124.6101053719284</v>
      </c>
      <c r="E228" s="32">
        <v>22.201740361156759</v>
      </c>
      <c r="F228" s="32">
        <v>121.55691158720106</v>
      </c>
      <c r="G228" s="17"/>
    </row>
    <row r="229" spans="3:7" ht="19.899999999999999" customHeight="1" x14ac:dyDescent="0.25">
      <c r="C229" s="31">
        <f t="shared" ca="1" si="15"/>
        <v>13.394325934902774</v>
      </c>
      <c r="D229" s="31">
        <f t="shared" ca="1" si="15"/>
        <v>113.25594491195631</v>
      </c>
      <c r="E229" s="32">
        <v>36.307450961980244</v>
      </c>
      <c r="F229" s="32">
        <v>101.4882323117839</v>
      </c>
      <c r="G229" s="17"/>
    </row>
    <row r="230" spans="3:7" ht="19.899999999999999" customHeight="1" x14ac:dyDescent="0.25">
      <c r="C230" s="31">
        <f t="shared" ca="1" si="15"/>
        <v>62.265930903080623</v>
      </c>
      <c r="D230" s="31">
        <f t="shared" ca="1" si="15"/>
        <v>129.20743907073251</v>
      </c>
      <c r="E230" s="32">
        <v>35.127142011764285</v>
      </c>
      <c r="F230" s="32">
        <v>90.353053235213963</v>
      </c>
      <c r="G230" s="17"/>
    </row>
    <row r="231" spans="3:7" ht="19.899999999999999" customHeight="1" x14ac:dyDescent="0.25">
      <c r="C231" s="31">
        <f t="shared" ca="1" si="15"/>
        <v>11.126638385359115</v>
      </c>
      <c r="D231" s="31">
        <f t="shared" ca="1" si="15"/>
        <v>131.95310767129769</v>
      </c>
      <c r="E231" s="32">
        <v>31.924126261545101</v>
      </c>
      <c r="F231" s="32">
        <v>74.447516947448605</v>
      </c>
      <c r="G231" s="17"/>
    </row>
    <row r="232" spans="3:7" ht="19.899999999999999" customHeight="1" x14ac:dyDescent="0.25">
      <c r="C232" s="31">
        <f t="shared" ca="1" si="15"/>
        <v>20.28576436918847</v>
      </c>
      <c r="D232" s="31">
        <f t="shared" ca="1" si="15"/>
        <v>111.96560394022941</v>
      </c>
      <c r="E232" s="32">
        <v>24.866565912096625</v>
      </c>
      <c r="F232" s="32">
        <v>125.51961251535505</v>
      </c>
      <c r="G232" s="17"/>
    </row>
    <row r="233" spans="3:7" ht="19.899999999999999" customHeight="1" x14ac:dyDescent="0.25">
      <c r="C233" s="31">
        <f t="shared" ca="1" si="15"/>
        <v>54.362421821649562</v>
      </c>
      <c r="D233" s="31">
        <f t="shared" ca="1" si="15"/>
        <v>96.367643707782392</v>
      </c>
      <c r="E233" s="32">
        <v>66.244435274059612</v>
      </c>
      <c r="F233" s="32">
        <v>119.46027144562507</v>
      </c>
      <c r="G233" s="17"/>
    </row>
    <row r="234" spans="3:7" ht="19.899999999999999" customHeight="1" x14ac:dyDescent="0.25">
      <c r="C234" s="31">
        <f t="shared" ref="C234:D253" ca="1" si="16">_xlfn.NORM.INV(RAND(),C$4,C$5)</f>
        <v>44.558110277245163</v>
      </c>
      <c r="D234" s="31">
        <f t="shared" ca="1" si="16"/>
        <v>114.80912848599412</v>
      </c>
      <c r="E234" s="32">
        <v>33.936848262169633</v>
      </c>
      <c r="F234" s="32">
        <v>114.66280020710359</v>
      </c>
      <c r="G234" s="17"/>
    </row>
    <row r="235" spans="3:7" ht="19.899999999999999" customHeight="1" x14ac:dyDescent="0.25">
      <c r="C235" s="31">
        <f t="shared" ca="1" si="16"/>
        <v>10.273222745971474</v>
      </c>
      <c r="D235" s="31">
        <f t="shared" ca="1" si="16"/>
        <v>115.31662300873626</v>
      </c>
      <c r="E235" s="32">
        <v>80.283017851138482</v>
      </c>
      <c r="F235" s="32">
        <v>117.59689606911029</v>
      </c>
      <c r="G235" s="17"/>
    </row>
    <row r="236" spans="3:7" ht="19.899999999999999" customHeight="1" x14ac:dyDescent="0.25">
      <c r="C236" s="31">
        <f t="shared" ca="1" si="16"/>
        <v>35.384312100993895</v>
      </c>
      <c r="D236" s="31">
        <f t="shared" ca="1" si="16"/>
        <v>115.81617895233789</v>
      </c>
      <c r="E236" s="32">
        <v>36.685638899618262</v>
      </c>
      <c r="F236" s="32">
        <v>91.103732233378992</v>
      </c>
      <c r="G236" s="17"/>
    </row>
    <row r="237" spans="3:7" ht="19.899999999999999" customHeight="1" x14ac:dyDescent="0.25">
      <c r="C237" s="31">
        <f t="shared" ca="1" si="16"/>
        <v>104.17708962391443</v>
      </c>
      <c r="D237" s="31">
        <f t="shared" ca="1" si="16"/>
        <v>109.81389765255412</v>
      </c>
      <c r="E237" s="32">
        <v>78.691586472971551</v>
      </c>
      <c r="F237" s="32">
        <v>86.264776929277915</v>
      </c>
      <c r="G237" s="17"/>
    </row>
    <row r="238" spans="3:7" ht="19.899999999999999" customHeight="1" x14ac:dyDescent="0.25">
      <c r="C238" s="31">
        <f t="shared" ca="1" si="16"/>
        <v>26.950640085789498</v>
      </c>
      <c r="D238" s="31">
        <f t="shared" ca="1" si="16"/>
        <v>126.00740263966121</v>
      </c>
      <c r="E238" s="32">
        <v>50.642881298278844</v>
      </c>
      <c r="F238" s="32">
        <v>120.38649717468638</v>
      </c>
      <c r="G238" s="17"/>
    </row>
    <row r="239" spans="3:7" ht="19.899999999999999" customHeight="1" x14ac:dyDescent="0.25">
      <c r="C239" s="31">
        <f t="shared" ca="1" si="16"/>
        <v>61.44655404566349</v>
      </c>
      <c r="D239" s="31">
        <f t="shared" ca="1" si="16"/>
        <v>101.32640380588956</v>
      </c>
      <c r="E239" s="32">
        <v>56.000501581874225</v>
      </c>
      <c r="F239" s="32">
        <v>101.94648043300541</v>
      </c>
      <c r="G239" s="17"/>
    </row>
    <row r="240" spans="3:7" ht="19.899999999999999" customHeight="1" x14ac:dyDescent="0.25">
      <c r="C240" s="31">
        <f t="shared" ca="1" si="16"/>
        <v>48.286478998913651</v>
      </c>
      <c r="D240" s="31">
        <f t="shared" ca="1" si="16"/>
        <v>116.6245158257849</v>
      </c>
      <c r="E240" s="32">
        <v>43.929023724117002</v>
      </c>
      <c r="F240" s="32">
        <v>109.1964189073278</v>
      </c>
      <c r="G240" s="17"/>
    </row>
    <row r="241" spans="3:7" ht="19.899999999999999" customHeight="1" x14ac:dyDescent="0.25">
      <c r="C241" s="31">
        <f t="shared" ca="1" si="16"/>
        <v>42.475063422294113</v>
      </c>
      <c r="D241" s="31">
        <f t="shared" ca="1" si="16"/>
        <v>124.0599975348473</v>
      </c>
      <c r="E241" s="32">
        <v>68.100657333565977</v>
      </c>
      <c r="F241" s="32">
        <v>113.26500461946662</v>
      </c>
      <c r="G241" s="17"/>
    </row>
    <row r="242" spans="3:7" ht="19.899999999999999" customHeight="1" x14ac:dyDescent="0.25">
      <c r="C242" s="31">
        <f t="shared" ca="1" si="16"/>
        <v>25.664439973668941</v>
      </c>
      <c r="D242" s="31">
        <f t="shared" ca="1" si="16"/>
        <v>102.25231667800125</v>
      </c>
      <c r="E242" s="32">
        <v>70.219972838882512</v>
      </c>
      <c r="F242" s="32">
        <v>89.469273387508167</v>
      </c>
      <c r="G242" s="17"/>
    </row>
    <row r="243" spans="3:7" ht="19.899999999999999" customHeight="1" x14ac:dyDescent="0.25">
      <c r="C243" s="31">
        <f t="shared" ca="1" si="16"/>
        <v>75.931325042994672</v>
      </c>
      <c r="D243" s="31">
        <f t="shared" ca="1" si="16"/>
        <v>127.99928807209758</v>
      </c>
      <c r="E243" s="32">
        <v>41.937410894015628</v>
      </c>
      <c r="F243" s="32">
        <v>98.263143242908797</v>
      </c>
      <c r="G243" s="17"/>
    </row>
    <row r="244" spans="3:7" ht="19.899999999999999" customHeight="1" x14ac:dyDescent="0.25">
      <c r="C244" s="31">
        <f t="shared" ca="1" si="16"/>
        <v>12.206545795247806</v>
      </c>
      <c r="D244" s="31">
        <f t="shared" ca="1" si="16"/>
        <v>98.413639107929939</v>
      </c>
      <c r="E244" s="32">
        <v>36.373863136604854</v>
      </c>
      <c r="F244" s="32">
        <v>112.72042339592711</v>
      </c>
      <c r="G244" s="17"/>
    </row>
    <row r="245" spans="3:7" ht="19.899999999999999" customHeight="1" x14ac:dyDescent="0.25">
      <c r="C245" s="31">
        <f t="shared" ca="1" si="16"/>
        <v>81.784074976563858</v>
      </c>
      <c r="D245" s="31">
        <f t="shared" ca="1" si="16"/>
        <v>111.01959012923773</v>
      </c>
      <c r="E245" s="32">
        <v>34.087590117559017</v>
      </c>
      <c r="F245" s="32">
        <v>98.868949330143892</v>
      </c>
      <c r="G245" s="17"/>
    </row>
    <row r="246" spans="3:7" ht="19.899999999999999" customHeight="1" x14ac:dyDescent="0.25">
      <c r="C246" s="31">
        <f t="shared" ca="1" si="16"/>
        <v>50.017708204733175</v>
      </c>
      <c r="D246" s="31">
        <f t="shared" ca="1" si="16"/>
        <v>110.23851516626152</v>
      </c>
      <c r="E246" s="32">
        <v>52.769597379134325</v>
      </c>
      <c r="F246" s="32">
        <v>111.14031507008828</v>
      </c>
      <c r="G246" s="17"/>
    </row>
    <row r="247" spans="3:7" ht="19.899999999999999" customHeight="1" x14ac:dyDescent="0.25">
      <c r="C247" s="31">
        <f t="shared" ca="1" si="16"/>
        <v>40.102109535207013</v>
      </c>
      <c r="D247" s="31">
        <f t="shared" ca="1" si="16"/>
        <v>110.16812280316961</v>
      </c>
      <c r="E247" s="32">
        <v>71.576763958742177</v>
      </c>
      <c r="F247" s="32">
        <v>106.53298101958167</v>
      </c>
      <c r="G247" s="17"/>
    </row>
    <row r="248" spans="3:7" ht="19.899999999999999" customHeight="1" x14ac:dyDescent="0.25">
      <c r="C248" s="31">
        <f t="shared" ca="1" si="16"/>
        <v>59.212473366951613</v>
      </c>
      <c r="D248" s="31">
        <f t="shared" ca="1" si="16"/>
        <v>98.469391605638137</v>
      </c>
      <c r="E248" s="32">
        <v>70.256221155962791</v>
      </c>
      <c r="F248" s="32">
        <v>122.21124649470369</v>
      </c>
      <c r="G248" s="17"/>
    </row>
    <row r="249" spans="3:7" ht="19.899999999999999" customHeight="1" x14ac:dyDescent="0.25">
      <c r="C249" s="31">
        <f t="shared" ca="1" si="16"/>
        <v>60.663703289057139</v>
      </c>
      <c r="D249" s="31">
        <f t="shared" ca="1" si="16"/>
        <v>137.49046336870072</v>
      </c>
      <c r="E249" s="32">
        <v>39.476066112873887</v>
      </c>
      <c r="F249" s="32">
        <v>122.03339984933559</v>
      </c>
      <c r="G249" s="17"/>
    </row>
    <row r="250" spans="3:7" ht="19.899999999999999" customHeight="1" x14ac:dyDescent="0.25">
      <c r="C250" s="31">
        <f t="shared" ca="1" si="16"/>
        <v>59.272534849018349</v>
      </c>
      <c r="D250" s="31">
        <f t="shared" ca="1" si="16"/>
        <v>115.73988653064789</v>
      </c>
      <c r="E250" s="32">
        <v>52.605897444171681</v>
      </c>
      <c r="F250" s="32">
        <v>125.41716375171936</v>
      </c>
      <c r="G250" s="17"/>
    </row>
    <row r="251" spans="3:7" ht="19.899999999999999" customHeight="1" x14ac:dyDescent="0.25">
      <c r="C251" s="31">
        <f t="shared" ca="1" si="16"/>
        <v>53.169018679473687</v>
      </c>
      <c r="D251" s="31">
        <f t="shared" ca="1" si="16"/>
        <v>118.47300902300722</v>
      </c>
      <c r="E251" s="32">
        <v>64.89087825437953</v>
      </c>
      <c r="F251" s="32">
        <v>109.28896325894475</v>
      </c>
      <c r="G251" s="17"/>
    </row>
    <row r="252" spans="3:7" ht="19.899999999999999" customHeight="1" x14ac:dyDescent="0.25">
      <c r="C252" s="31">
        <f t="shared" ca="1" si="16"/>
        <v>24.555956225100285</v>
      </c>
      <c r="D252" s="31">
        <f t="shared" ca="1" si="16"/>
        <v>61.916840410969527</v>
      </c>
      <c r="E252" s="32">
        <v>54.207044674926081</v>
      </c>
      <c r="F252" s="32">
        <v>121.60037102913154</v>
      </c>
      <c r="G252" s="17"/>
    </row>
    <row r="253" spans="3:7" ht="19.899999999999999" customHeight="1" x14ac:dyDescent="0.25">
      <c r="C253" s="31">
        <f t="shared" ca="1" si="16"/>
        <v>67.904200226515897</v>
      </c>
      <c r="D253" s="31">
        <f t="shared" ca="1" si="16"/>
        <v>113.74569877921942</v>
      </c>
      <c r="E253" s="32">
        <v>52.521557519170777</v>
      </c>
      <c r="F253" s="32">
        <v>115.46581705485949</v>
      </c>
      <c r="G253" s="17"/>
    </row>
    <row r="254" spans="3:7" ht="19.899999999999999" customHeight="1" x14ac:dyDescent="0.25">
      <c r="C254" s="31">
        <f t="shared" ref="C254:D273" ca="1" si="17">_xlfn.NORM.INV(RAND(),C$4,C$5)</f>
        <v>49.174949099936889</v>
      </c>
      <c r="D254" s="31">
        <f t="shared" ca="1" si="17"/>
        <v>118.72752198031559</v>
      </c>
      <c r="E254" s="32">
        <v>40.328700707064833</v>
      </c>
      <c r="F254" s="32">
        <v>88.637483699853234</v>
      </c>
      <c r="G254" s="17"/>
    </row>
    <row r="255" spans="3:7" ht="19.899999999999999" customHeight="1" x14ac:dyDescent="0.25">
      <c r="C255" s="31">
        <f t="shared" ca="1" si="17"/>
        <v>69.793995165858263</v>
      </c>
      <c r="D255" s="31">
        <f t="shared" ca="1" si="17"/>
        <v>116.59391600413046</v>
      </c>
      <c r="E255" s="32">
        <v>43.693641264119321</v>
      </c>
      <c r="F255" s="32">
        <v>105.63539358625171</v>
      </c>
      <c r="G255" s="17"/>
    </row>
    <row r="256" spans="3:7" ht="19.899999999999999" customHeight="1" x14ac:dyDescent="0.25">
      <c r="C256" s="31">
        <f t="shared" ca="1" si="17"/>
        <v>19.986620389213989</v>
      </c>
      <c r="D256" s="31">
        <f t="shared" ca="1" si="17"/>
        <v>116.89927042615058</v>
      </c>
      <c r="E256" s="32">
        <v>46.521234585199373</v>
      </c>
      <c r="F256" s="32">
        <v>110.10231785588216</v>
      </c>
      <c r="G256" s="17"/>
    </row>
    <row r="257" spans="3:7" ht="19.899999999999999" customHeight="1" x14ac:dyDescent="0.25">
      <c r="C257" s="31">
        <f t="shared" ca="1" si="17"/>
        <v>41.95591721579278</v>
      </c>
      <c r="D257" s="31">
        <f t="shared" ca="1" si="17"/>
        <v>127.94619165695418</v>
      </c>
      <c r="E257" s="32">
        <v>62.464080417204904</v>
      </c>
      <c r="F257" s="32">
        <v>101.58361583500677</v>
      </c>
      <c r="G257" s="17"/>
    </row>
    <row r="258" spans="3:7" ht="19.899999999999999" customHeight="1" x14ac:dyDescent="0.25">
      <c r="C258" s="31">
        <f t="shared" ca="1" si="17"/>
        <v>34.516320481397969</v>
      </c>
      <c r="D258" s="31">
        <f t="shared" ca="1" si="17"/>
        <v>124.58395102911136</v>
      </c>
      <c r="E258" s="32">
        <v>55.977634151158931</v>
      </c>
      <c r="F258" s="32">
        <v>107.65244152522205</v>
      </c>
      <c r="G258" s="17"/>
    </row>
    <row r="259" spans="3:7" ht="19.899999999999999" customHeight="1" x14ac:dyDescent="0.25">
      <c r="C259" s="31">
        <f t="shared" ca="1" si="17"/>
        <v>48.285952133017567</v>
      </c>
      <c r="D259" s="31">
        <f t="shared" ca="1" si="17"/>
        <v>121.68619611539415</v>
      </c>
      <c r="E259" s="32">
        <v>38.46088677340321</v>
      </c>
      <c r="F259" s="32">
        <v>144.77569291680749</v>
      </c>
      <c r="G259" s="17"/>
    </row>
    <row r="260" spans="3:7" ht="19.899999999999999" customHeight="1" x14ac:dyDescent="0.25">
      <c r="C260" s="31">
        <f t="shared" ca="1" si="17"/>
        <v>56.544395133569488</v>
      </c>
      <c r="D260" s="31">
        <f t="shared" ca="1" si="17"/>
        <v>79.184675205167679</v>
      </c>
      <c r="E260" s="32">
        <v>61.463418154807826</v>
      </c>
      <c r="F260" s="32">
        <v>130.02984288459021</v>
      </c>
      <c r="G260" s="17"/>
    </row>
    <row r="261" spans="3:7" ht="19.899999999999999" customHeight="1" x14ac:dyDescent="0.25">
      <c r="C261" s="31">
        <f t="shared" ca="1" si="17"/>
        <v>41.34643221793165</v>
      </c>
      <c r="D261" s="31">
        <f t="shared" ca="1" si="17"/>
        <v>129.40747928442229</v>
      </c>
      <c r="E261" s="32">
        <v>60.080861214148506</v>
      </c>
      <c r="F261" s="32">
        <v>118.51936815555663</v>
      </c>
      <c r="G261" s="17"/>
    </row>
    <row r="262" spans="3:7" ht="19.899999999999999" customHeight="1" x14ac:dyDescent="0.25">
      <c r="C262" s="31">
        <f t="shared" ca="1" si="17"/>
        <v>42.800331317537704</v>
      </c>
      <c r="D262" s="31">
        <f t="shared" ca="1" si="17"/>
        <v>139.29202270586313</v>
      </c>
      <c r="E262" s="32">
        <v>41.491353612626334</v>
      </c>
      <c r="F262" s="32">
        <v>120.26920070821024</v>
      </c>
      <c r="G262" s="17"/>
    </row>
    <row r="263" spans="3:7" ht="19.899999999999999" customHeight="1" x14ac:dyDescent="0.25">
      <c r="C263" s="31">
        <f t="shared" ca="1" si="17"/>
        <v>98.522252073859875</v>
      </c>
      <c r="D263" s="31">
        <f t="shared" ca="1" si="17"/>
        <v>113.24714176011634</v>
      </c>
      <c r="E263" s="32">
        <v>32.527791517653029</v>
      </c>
      <c r="F263" s="32">
        <v>132.58824824702151</v>
      </c>
      <c r="G263" s="17"/>
    </row>
    <row r="264" spans="3:7" ht="19.899999999999999" customHeight="1" x14ac:dyDescent="0.25">
      <c r="C264" s="31">
        <f t="shared" ca="1" si="17"/>
        <v>74.135971813681707</v>
      </c>
      <c r="D264" s="31">
        <f t="shared" ca="1" si="17"/>
        <v>118.8816952441628</v>
      </c>
      <c r="E264" s="32">
        <v>31.727513767044851</v>
      </c>
      <c r="F264" s="32">
        <v>119.64151290138734</v>
      </c>
      <c r="G264" s="17"/>
    </row>
    <row r="265" spans="3:7" ht="19.899999999999999" customHeight="1" x14ac:dyDescent="0.25">
      <c r="C265" s="31">
        <f t="shared" ca="1" si="17"/>
        <v>55.003257165659967</v>
      </c>
      <c r="D265" s="31">
        <f t="shared" ca="1" si="17"/>
        <v>114.84180202770858</v>
      </c>
      <c r="E265" s="32">
        <v>59.338749444338724</v>
      </c>
      <c r="F265" s="32">
        <v>108.66859722023023</v>
      </c>
      <c r="G265" s="17"/>
    </row>
    <row r="266" spans="3:7" ht="19.899999999999999" customHeight="1" x14ac:dyDescent="0.25">
      <c r="C266" s="31">
        <f t="shared" ca="1" si="17"/>
        <v>9.5429517796173968</v>
      </c>
      <c r="D266" s="31">
        <f t="shared" ca="1" si="17"/>
        <v>113.23688355290157</v>
      </c>
      <c r="E266" s="32">
        <v>44.001524716046326</v>
      </c>
      <c r="F266" s="32">
        <v>99.513227548608114</v>
      </c>
      <c r="G266" s="17"/>
    </row>
    <row r="267" spans="3:7" ht="19.899999999999999" customHeight="1" x14ac:dyDescent="0.25">
      <c r="C267" s="31">
        <f t="shared" ca="1" si="17"/>
        <v>56.654053051843874</v>
      </c>
      <c r="D267" s="31">
        <f t="shared" ca="1" si="17"/>
        <v>121.58330232180894</v>
      </c>
      <c r="E267" s="32">
        <v>48.542016809198437</v>
      </c>
      <c r="F267" s="32">
        <v>130.88203932115118</v>
      </c>
      <c r="G267" s="17"/>
    </row>
    <row r="268" spans="3:7" ht="19.899999999999999" customHeight="1" x14ac:dyDescent="0.25">
      <c r="C268" s="31">
        <f t="shared" ca="1" si="17"/>
        <v>16.055699395419857</v>
      </c>
      <c r="D268" s="31">
        <f t="shared" ca="1" si="17"/>
        <v>116.75585529474115</v>
      </c>
      <c r="E268" s="32">
        <v>47.530081866535625</v>
      </c>
      <c r="F268" s="32">
        <v>102.00268922705419</v>
      </c>
      <c r="G268" s="17"/>
    </row>
    <row r="269" spans="3:7" ht="19.899999999999999" customHeight="1" x14ac:dyDescent="0.25">
      <c r="C269" s="31">
        <f t="shared" ca="1" si="17"/>
        <v>60.760395158845007</v>
      </c>
      <c r="D269" s="31">
        <f t="shared" ca="1" si="17"/>
        <v>94.558873536757744</v>
      </c>
      <c r="E269" s="32">
        <v>64.465066465032962</v>
      </c>
      <c r="F269" s="32">
        <v>99.25841732578526</v>
      </c>
      <c r="G269" s="17"/>
    </row>
    <row r="270" spans="3:7" ht="19.899999999999999" customHeight="1" x14ac:dyDescent="0.25">
      <c r="C270" s="31">
        <f t="shared" ca="1" si="17"/>
        <v>66.50901682494208</v>
      </c>
      <c r="D270" s="31">
        <f t="shared" ca="1" si="17"/>
        <v>108.61825966239918</v>
      </c>
      <c r="E270" s="32">
        <v>32.61766284403155</v>
      </c>
      <c r="F270" s="32">
        <v>110.8372375314076</v>
      </c>
      <c r="G270" s="17"/>
    </row>
    <row r="271" spans="3:7" ht="19.899999999999999" customHeight="1" x14ac:dyDescent="0.25">
      <c r="C271" s="31">
        <f t="shared" ca="1" si="17"/>
        <v>45.786395829677502</v>
      </c>
      <c r="D271" s="31">
        <f t="shared" ca="1" si="17"/>
        <v>120.37669220865676</v>
      </c>
      <c r="E271" s="32">
        <v>68.186362894946626</v>
      </c>
      <c r="F271" s="32">
        <v>103.36543632385732</v>
      </c>
      <c r="G271" s="17"/>
    </row>
    <row r="272" spans="3:7" ht="19.899999999999999" customHeight="1" x14ac:dyDescent="0.25">
      <c r="C272" s="31">
        <f t="shared" ca="1" si="17"/>
        <v>57.303631859093194</v>
      </c>
      <c r="D272" s="31">
        <f t="shared" ca="1" si="17"/>
        <v>123.46533849427739</v>
      </c>
      <c r="E272" s="32">
        <v>20.874686727842967</v>
      </c>
      <c r="F272" s="32">
        <v>115.1561347214832</v>
      </c>
      <c r="G272" s="17"/>
    </row>
    <row r="273" spans="3:7" ht="19.899999999999999" customHeight="1" x14ac:dyDescent="0.25">
      <c r="C273" s="31">
        <f t="shared" ca="1" si="17"/>
        <v>59.429847752065555</v>
      </c>
      <c r="D273" s="31">
        <f t="shared" ca="1" si="17"/>
        <v>115.7811469416848</v>
      </c>
      <c r="E273" s="32">
        <v>64.226959343724715</v>
      </c>
      <c r="F273" s="32">
        <v>101.7900138153025</v>
      </c>
      <c r="G273" s="17"/>
    </row>
    <row r="274" spans="3:7" ht="19.899999999999999" customHeight="1" x14ac:dyDescent="0.25">
      <c r="C274" s="31">
        <f t="shared" ref="C274:D293" ca="1" si="18">_xlfn.NORM.INV(RAND(),C$4,C$5)</f>
        <v>29.900804164706031</v>
      </c>
      <c r="D274" s="31">
        <f t="shared" ca="1" si="18"/>
        <v>102.11202962363593</v>
      </c>
      <c r="E274" s="32">
        <v>51.155797283147606</v>
      </c>
      <c r="F274" s="32">
        <v>102.52397002894514</v>
      </c>
      <c r="G274" s="17"/>
    </row>
    <row r="275" spans="3:7" ht="19.899999999999999" customHeight="1" x14ac:dyDescent="0.25">
      <c r="C275" s="31">
        <f t="shared" ca="1" si="18"/>
        <v>45.755002842586578</v>
      </c>
      <c r="D275" s="31">
        <f t="shared" ca="1" si="18"/>
        <v>94.017540940460108</v>
      </c>
      <c r="E275" s="32">
        <v>47.286227140510981</v>
      </c>
      <c r="F275" s="32">
        <v>111.18722909379488</v>
      </c>
      <c r="G275" s="17"/>
    </row>
    <row r="276" spans="3:7" ht="19.899999999999999" customHeight="1" x14ac:dyDescent="0.25">
      <c r="C276" s="31">
        <f t="shared" ca="1" si="18"/>
        <v>40.97216945558332</v>
      </c>
      <c r="D276" s="31">
        <f t="shared" ca="1" si="18"/>
        <v>128.78041993228504</v>
      </c>
      <c r="E276" s="32">
        <v>40.723113534758859</v>
      </c>
      <c r="F276" s="32">
        <v>108.5614418613907</v>
      </c>
      <c r="G276" s="17"/>
    </row>
    <row r="277" spans="3:7" ht="19.899999999999999" customHeight="1" x14ac:dyDescent="0.25">
      <c r="C277" s="31">
        <f t="shared" ca="1" si="18"/>
        <v>13.228410566844701</v>
      </c>
      <c r="D277" s="31">
        <f t="shared" ca="1" si="18"/>
        <v>106.32809303299898</v>
      </c>
      <c r="E277" s="32">
        <v>39.600846886969862</v>
      </c>
      <c r="F277" s="32">
        <v>115.95481762891512</v>
      </c>
      <c r="G277" s="17"/>
    </row>
    <row r="278" spans="3:7" ht="19.899999999999999" customHeight="1" x14ac:dyDescent="0.25">
      <c r="C278" s="31">
        <f t="shared" ca="1" si="18"/>
        <v>76.513016918847086</v>
      </c>
      <c r="D278" s="31">
        <f t="shared" ca="1" si="18"/>
        <v>101.35460971279561</v>
      </c>
      <c r="E278" s="32">
        <v>-2.6829047923233418</v>
      </c>
      <c r="F278" s="32">
        <v>98.228404452664037</v>
      </c>
      <c r="G278" s="17"/>
    </row>
    <row r="279" spans="3:7" ht="19.899999999999999" customHeight="1" x14ac:dyDescent="0.25">
      <c r="C279" s="31">
        <f t="shared" ca="1" si="18"/>
        <v>75.754259880813919</v>
      </c>
      <c r="D279" s="31">
        <f t="shared" ca="1" si="18"/>
        <v>103.96696464204452</v>
      </c>
      <c r="E279" s="32">
        <v>57.314600068003955</v>
      </c>
      <c r="F279" s="32">
        <v>124.31115182046956</v>
      </c>
      <c r="G279" s="17"/>
    </row>
    <row r="280" spans="3:7" ht="19.899999999999999" customHeight="1" x14ac:dyDescent="0.25">
      <c r="C280" s="31">
        <f t="shared" ca="1" si="18"/>
        <v>63.943255749862089</v>
      </c>
      <c r="D280" s="31">
        <f t="shared" ca="1" si="18"/>
        <v>101.8054136391234</v>
      </c>
      <c r="E280" s="32">
        <v>48.633210327244782</v>
      </c>
      <c r="F280" s="32">
        <v>146.67116502983851</v>
      </c>
      <c r="G280" s="17"/>
    </row>
    <row r="281" spans="3:7" ht="19.899999999999999" customHeight="1" x14ac:dyDescent="0.25">
      <c r="C281" s="31">
        <f t="shared" ca="1" si="18"/>
        <v>30.018404378565069</v>
      </c>
      <c r="D281" s="31">
        <f t="shared" ca="1" si="18"/>
        <v>124.57532862296696</v>
      </c>
      <c r="E281" s="32">
        <v>19.718283251845243</v>
      </c>
      <c r="F281" s="32">
        <v>96.928296588740963</v>
      </c>
      <c r="G281" s="17"/>
    </row>
    <row r="282" spans="3:7" ht="19.899999999999999" customHeight="1" x14ac:dyDescent="0.25">
      <c r="C282" s="31">
        <f t="shared" ca="1" si="18"/>
        <v>71.118337832665048</v>
      </c>
      <c r="D282" s="31">
        <f t="shared" ca="1" si="18"/>
        <v>110.96560725062658</v>
      </c>
      <c r="E282" s="32">
        <v>72.174536149178039</v>
      </c>
      <c r="F282" s="32">
        <v>110.89213649854256</v>
      </c>
      <c r="G282" s="17"/>
    </row>
    <row r="283" spans="3:7" ht="19.899999999999999" customHeight="1" x14ac:dyDescent="0.25">
      <c r="C283" s="31">
        <f t="shared" ca="1" si="18"/>
        <v>19.065085071158535</v>
      </c>
      <c r="D283" s="31">
        <f t="shared" ca="1" si="18"/>
        <v>89.328236586345398</v>
      </c>
      <c r="E283" s="32">
        <v>67.174004642903412</v>
      </c>
      <c r="F283" s="32">
        <v>102.82765819492306</v>
      </c>
      <c r="G283" s="17"/>
    </row>
    <row r="284" spans="3:7" ht="19.899999999999999" customHeight="1" x14ac:dyDescent="0.25">
      <c r="C284" s="31">
        <f t="shared" ca="1" si="18"/>
        <v>79.66508334130576</v>
      </c>
      <c r="D284" s="31">
        <f t="shared" ca="1" si="18"/>
        <v>104.23504101457131</v>
      </c>
      <c r="E284" s="32">
        <v>63.859222246290585</v>
      </c>
      <c r="F284" s="32">
        <v>133.06961813919312</v>
      </c>
      <c r="G284" s="17"/>
    </row>
    <row r="285" spans="3:7" ht="19.899999999999999" customHeight="1" x14ac:dyDescent="0.25">
      <c r="C285" s="31">
        <f t="shared" ca="1" si="18"/>
        <v>18.106547392883371</v>
      </c>
      <c r="D285" s="31">
        <f t="shared" ca="1" si="18"/>
        <v>111.81618140088622</v>
      </c>
      <c r="E285" s="32">
        <v>23.484747855807633</v>
      </c>
      <c r="F285" s="32">
        <v>108.72388448308388</v>
      </c>
      <c r="G285" s="17"/>
    </row>
    <row r="286" spans="3:7" ht="19.899999999999999" customHeight="1" x14ac:dyDescent="0.25">
      <c r="C286" s="31">
        <f t="shared" ca="1" si="18"/>
        <v>38.312199845202962</v>
      </c>
      <c r="D286" s="31">
        <f t="shared" ca="1" si="18"/>
        <v>125.03881895817209</v>
      </c>
      <c r="E286" s="32">
        <v>62.81104263861473</v>
      </c>
      <c r="F286" s="32">
        <v>107.47671402365846</v>
      </c>
      <c r="G286" s="17"/>
    </row>
    <row r="287" spans="3:7" ht="19.899999999999999" customHeight="1" x14ac:dyDescent="0.25">
      <c r="C287" s="31">
        <f t="shared" ca="1" si="18"/>
        <v>50.99564248240646</v>
      </c>
      <c r="D287" s="31">
        <f t="shared" ca="1" si="18"/>
        <v>103.64627711256826</v>
      </c>
      <c r="E287" s="32">
        <v>72.565786357325067</v>
      </c>
      <c r="F287" s="32">
        <v>98.493798918382694</v>
      </c>
      <c r="G287" s="17"/>
    </row>
    <row r="288" spans="3:7" ht="19.899999999999999" customHeight="1" x14ac:dyDescent="0.25">
      <c r="C288" s="31">
        <f t="shared" ca="1" si="18"/>
        <v>53.688406777924158</v>
      </c>
      <c r="D288" s="31">
        <f t="shared" ca="1" si="18"/>
        <v>107.65633440785551</v>
      </c>
      <c r="E288" s="32">
        <v>44.532424691300776</v>
      </c>
      <c r="F288" s="32">
        <v>117.99279640832604</v>
      </c>
      <c r="G288" s="17"/>
    </row>
    <row r="289" spans="3:7" ht="19.899999999999999" customHeight="1" x14ac:dyDescent="0.25">
      <c r="C289" s="31">
        <f t="shared" ca="1" si="18"/>
        <v>27.053380800834248</v>
      </c>
      <c r="D289" s="31">
        <f t="shared" ca="1" si="18"/>
        <v>105.49346890078718</v>
      </c>
      <c r="E289" s="32">
        <v>44.227352607614478</v>
      </c>
      <c r="F289" s="32">
        <v>110.60506944160578</v>
      </c>
      <c r="G289" s="17"/>
    </row>
    <row r="290" spans="3:7" ht="19.899999999999999" customHeight="1" x14ac:dyDescent="0.25">
      <c r="C290" s="31">
        <f t="shared" ca="1" si="18"/>
        <v>60.885449586780048</v>
      </c>
      <c r="D290" s="31">
        <f t="shared" ca="1" si="18"/>
        <v>108.29187740190916</v>
      </c>
      <c r="E290" s="32">
        <v>28.772397218248557</v>
      </c>
      <c r="F290" s="32">
        <v>103.88071641098165</v>
      </c>
      <c r="G290" s="17"/>
    </row>
    <row r="291" spans="3:7" ht="19.899999999999999" customHeight="1" x14ac:dyDescent="0.25">
      <c r="C291" s="31">
        <f t="shared" ca="1" si="18"/>
        <v>67.70308390765635</v>
      </c>
      <c r="D291" s="31">
        <f t="shared" ca="1" si="18"/>
        <v>131.31397685512226</v>
      </c>
      <c r="E291" s="32">
        <v>28.944233949950494</v>
      </c>
      <c r="F291" s="32">
        <v>90.490266874050576</v>
      </c>
      <c r="G291" s="17"/>
    </row>
    <row r="292" spans="3:7" ht="19.899999999999999" customHeight="1" x14ac:dyDescent="0.25">
      <c r="C292" s="31">
        <f t="shared" ca="1" si="18"/>
        <v>68.766140737800782</v>
      </c>
      <c r="D292" s="31">
        <f t="shared" ca="1" si="18"/>
        <v>98.146011890980049</v>
      </c>
      <c r="E292" s="32">
        <v>41.095964593308423</v>
      </c>
      <c r="F292" s="32">
        <v>114.14232258928486</v>
      </c>
      <c r="G292" s="17"/>
    </row>
    <row r="293" spans="3:7" ht="19.899999999999999" customHeight="1" x14ac:dyDescent="0.25">
      <c r="C293" s="31">
        <f t="shared" ca="1" si="18"/>
        <v>62.024110881919533</v>
      </c>
      <c r="D293" s="31">
        <f t="shared" ca="1" si="18"/>
        <v>123.44426449574155</v>
      </c>
      <c r="E293" s="32">
        <v>37.860014721677352</v>
      </c>
      <c r="F293" s="32">
        <v>116.31069819499675</v>
      </c>
      <c r="G293" s="17"/>
    </row>
    <row r="294" spans="3:7" ht="19.899999999999999" customHeight="1" x14ac:dyDescent="0.25">
      <c r="C294" s="31">
        <f t="shared" ref="C294:D313" ca="1" si="19">_xlfn.NORM.INV(RAND(),C$4,C$5)</f>
        <v>54.964616279282929</v>
      </c>
      <c r="D294" s="31">
        <f t="shared" ca="1" si="19"/>
        <v>90.854516029656267</v>
      </c>
      <c r="E294" s="32">
        <v>56.963893771642063</v>
      </c>
      <c r="F294" s="32">
        <v>108.52744555146043</v>
      </c>
      <c r="G294" s="17"/>
    </row>
    <row r="295" spans="3:7" ht="19.899999999999999" customHeight="1" x14ac:dyDescent="0.25">
      <c r="C295" s="31">
        <f t="shared" ca="1" si="19"/>
        <v>25.56241527835218</v>
      </c>
      <c r="D295" s="31">
        <f t="shared" ca="1" si="19"/>
        <v>108.96960377223706</v>
      </c>
      <c r="E295" s="32">
        <v>79.119097721727542</v>
      </c>
      <c r="F295" s="32">
        <v>114.26056110159081</v>
      </c>
      <c r="G295" s="17"/>
    </row>
    <row r="296" spans="3:7" ht="19.899999999999999" customHeight="1" x14ac:dyDescent="0.25">
      <c r="C296" s="31">
        <f t="shared" ca="1" si="19"/>
        <v>54.78922427691073</v>
      </c>
      <c r="D296" s="31">
        <f t="shared" ca="1" si="19"/>
        <v>92.152426193519688</v>
      </c>
      <c r="E296" s="32">
        <v>43.496057108574732</v>
      </c>
      <c r="F296" s="32">
        <v>114.53649651765127</v>
      </c>
      <c r="G296" s="17"/>
    </row>
    <row r="297" spans="3:7" ht="19.899999999999999" customHeight="1" x14ac:dyDescent="0.25">
      <c r="C297" s="31">
        <f t="shared" ca="1" si="19"/>
        <v>35.540354416364153</v>
      </c>
      <c r="D297" s="31">
        <f t="shared" ca="1" si="19"/>
        <v>105.88968830116215</v>
      </c>
      <c r="E297" s="32">
        <v>35.956203107700972</v>
      </c>
      <c r="F297" s="32">
        <v>97.829830269148857</v>
      </c>
      <c r="G297" s="17"/>
    </row>
    <row r="298" spans="3:7" ht="19.899999999999999" customHeight="1" x14ac:dyDescent="0.25">
      <c r="C298" s="31">
        <f t="shared" ca="1" si="19"/>
        <v>88.470632977136361</v>
      </c>
      <c r="D298" s="31">
        <f t="shared" ca="1" si="19"/>
        <v>141.87334200788487</v>
      </c>
      <c r="E298" s="32">
        <v>46.559150543697321</v>
      </c>
      <c r="F298" s="32">
        <v>109.62910900911163</v>
      </c>
      <c r="G298" s="17"/>
    </row>
    <row r="299" spans="3:7" ht="19.899999999999999" customHeight="1" x14ac:dyDescent="0.25">
      <c r="C299" s="31">
        <f t="shared" ca="1" si="19"/>
        <v>61.762271577074138</v>
      </c>
      <c r="D299" s="31">
        <f t="shared" ca="1" si="19"/>
        <v>101.3167347134741</v>
      </c>
      <c r="E299" s="32">
        <v>67.452244986642114</v>
      </c>
      <c r="F299" s="32">
        <v>106.38610224883173</v>
      </c>
      <c r="G299" s="17"/>
    </row>
    <row r="300" spans="3:7" ht="19.899999999999999" customHeight="1" x14ac:dyDescent="0.25">
      <c r="C300" s="31">
        <f t="shared" ca="1" si="19"/>
        <v>50.232995838906668</v>
      </c>
      <c r="D300" s="31">
        <f t="shared" ca="1" si="19"/>
        <v>120.00611033872431</v>
      </c>
      <c r="E300" s="32">
        <v>57.046361232963044</v>
      </c>
      <c r="F300" s="32">
        <v>123.37887190706361</v>
      </c>
      <c r="G300" s="17"/>
    </row>
    <row r="301" spans="3:7" ht="19.899999999999999" customHeight="1" x14ac:dyDescent="0.25">
      <c r="C301" s="31">
        <f t="shared" ca="1" si="19"/>
        <v>53.267017354569951</v>
      </c>
      <c r="D301" s="31">
        <f t="shared" ca="1" si="19"/>
        <v>108.84281507957635</v>
      </c>
      <c r="E301" s="32">
        <v>28.405606410274558</v>
      </c>
      <c r="F301" s="32">
        <v>112.18100121207586</v>
      </c>
      <c r="G301" s="17"/>
    </row>
    <row r="302" spans="3:7" ht="19.899999999999999" customHeight="1" x14ac:dyDescent="0.25">
      <c r="C302" s="31">
        <f t="shared" ca="1" si="19"/>
        <v>56.269605231544155</v>
      </c>
      <c r="D302" s="31">
        <f t="shared" ca="1" si="19"/>
        <v>93.544027114793579</v>
      </c>
      <c r="E302" s="32">
        <v>52.10205382978269</v>
      </c>
      <c r="F302" s="32">
        <v>103.94634026820704</v>
      </c>
      <c r="G302" s="17"/>
    </row>
    <row r="303" spans="3:7" ht="19.899999999999999" customHeight="1" x14ac:dyDescent="0.25">
      <c r="C303" s="31">
        <f t="shared" ca="1" si="19"/>
        <v>29.253875376380808</v>
      </c>
      <c r="D303" s="31">
        <f t="shared" ca="1" si="19"/>
        <v>102.13169275817525</v>
      </c>
      <c r="E303" s="32">
        <v>40.509085331283444</v>
      </c>
      <c r="F303" s="32">
        <v>100.36108080671777</v>
      </c>
      <c r="G303" s="17"/>
    </row>
    <row r="304" spans="3:7" ht="19.899999999999999" customHeight="1" x14ac:dyDescent="0.25">
      <c r="C304" s="31">
        <f t="shared" ca="1" si="19"/>
        <v>74.83663889834159</v>
      </c>
      <c r="D304" s="31">
        <f t="shared" ca="1" si="19"/>
        <v>126.23948673694429</v>
      </c>
      <c r="E304" s="32">
        <v>70.532126259824665</v>
      </c>
      <c r="F304" s="32">
        <v>96.212146543854672</v>
      </c>
      <c r="G304" s="17"/>
    </row>
    <row r="305" spans="3:7" ht="19.899999999999999" customHeight="1" x14ac:dyDescent="0.25">
      <c r="C305" s="31">
        <f t="shared" ca="1" si="19"/>
        <v>39.893642083918898</v>
      </c>
      <c r="D305" s="31">
        <f t="shared" ca="1" si="19"/>
        <v>95.459291488940821</v>
      </c>
      <c r="E305" s="32">
        <v>42.293662590359396</v>
      </c>
      <c r="F305" s="32">
        <v>113.14183033607129</v>
      </c>
      <c r="G305" s="17"/>
    </row>
    <row r="306" spans="3:7" ht="19.899999999999999" customHeight="1" x14ac:dyDescent="0.25">
      <c r="C306" s="31">
        <f t="shared" ca="1" si="19"/>
        <v>35.774195862655283</v>
      </c>
      <c r="D306" s="31">
        <f t="shared" ca="1" si="19"/>
        <v>113.93904026786163</v>
      </c>
      <c r="E306" s="32">
        <v>10.537173059584852</v>
      </c>
      <c r="F306" s="32">
        <v>128.31120150872849</v>
      </c>
      <c r="G306" s="17"/>
    </row>
    <row r="307" spans="3:7" ht="19.899999999999999" customHeight="1" x14ac:dyDescent="0.25">
      <c r="C307" s="31">
        <f t="shared" ca="1" si="19"/>
        <v>46.137745437735347</v>
      </c>
      <c r="D307" s="31">
        <f t="shared" ca="1" si="19"/>
        <v>104.68987636162126</v>
      </c>
      <c r="E307" s="32">
        <v>32.639958520255263</v>
      </c>
      <c r="F307" s="32">
        <v>135.8616576536935</v>
      </c>
      <c r="G307" s="17"/>
    </row>
    <row r="308" spans="3:7" ht="19.899999999999999" customHeight="1" x14ac:dyDescent="0.25">
      <c r="C308" s="31">
        <f t="shared" ca="1" si="19"/>
        <v>26.88355941250957</v>
      </c>
      <c r="D308" s="31">
        <f t="shared" ca="1" si="19"/>
        <v>96.301445208173334</v>
      </c>
      <c r="E308" s="32">
        <v>56.160328503717622</v>
      </c>
      <c r="F308" s="32">
        <v>115.72029803026685</v>
      </c>
      <c r="G308" s="17"/>
    </row>
    <row r="309" spans="3:7" ht="19.899999999999999" customHeight="1" x14ac:dyDescent="0.25">
      <c r="C309" s="31">
        <f t="shared" ca="1" si="19"/>
        <v>29.199280630297245</v>
      </c>
      <c r="D309" s="31">
        <f t="shared" ca="1" si="19"/>
        <v>91.385652905908927</v>
      </c>
      <c r="E309" s="32">
        <v>42.545344000085066</v>
      </c>
      <c r="F309" s="32">
        <v>124.09267269856788</v>
      </c>
      <c r="G309" s="17"/>
    </row>
    <row r="310" spans="3:7" ht="19.899999999999999" customHeight="1" x14ac:dyDescent="0.25">
      <c r="C310" s="31">
        <f t="shared" ca="1" si="19"/>
        <v>93.639892594037292</v>
      </c>
      <c r="D310" s="31">
        <f t="shared" ca="1" si="19"/>
        <v>93.802629755842744</v>
      </c>
      <c r="E310" s="32">
        <v>64.876280292370524</v>
      </c>
      <c r="F310" s="32">
        <v>105.49462605536397</v>
      </c>
      <c r="G310" s="17"/>
    </row>
    <row r="311" spans="3:7" ht="19.899999999999999" customHeight="1" x14ac:dyDescent="0.25">
      <c r="C311" s="31">
        <f t="shared" ca="1" si="19"/>
        <v>61.197906082915949</v>
      </c>
      <c r="D311" s="31">
        <f t="shared" ca="1" si="19"/>
        <v>89.541589035910306</v>
      </c>
      <c r="E311" s="32">
        <v>69.041636473952224</v>
      </c>
      <c r="F311" s="32">
        <v>112.49270093437998</v>
      </c>
      <c r="G311" s="17"/>
    </row>
    <row r="312" spans="3:7" ht="19.899999999999999" customHeight="1" x14ac:dyDescent="0.25">
      <c r="C312" s="31">
        <f t="shared" ca="1" si="19"/>
        <v>49.894066576094602</v>
      </c>
      <c r="D312" s="31">
        <f t="shared" ca="1" si="19"/>
        <v>108.27089113233254</v>
      </c>
      <c r="E312" s="32">
        <v>16.781339001697702</v>
      </c>
      <c r="F312" s="32">
        <v>113.97170010957939</v>
      </c>
      <c r="G312" s="17"/>
    </row>
    <row r="313" spans="3:7" ht="19.899999999999999" customHeight="1" x14ac:dyDescent="0.25">
      <c r="C313" s="31">
        <f t="shared" ca="1" si="19"/>
        <v>34.923454791712416</v>
      </c>
      <c r="D313" s="31">
        <f t="shared" ca="1" si="19"/>
        <v>83.705383878808163</v>
      </c>
      <c r="E313" s="32">
        <v>15.142367582062278</v>
      </c>
      <c r="F313" s="32">
        <v>109.51419542855821</v>
      </c>
      <c r="G313" s="17"/>
    </row>
    <row r="314" spans="3:7" ht="19.899999999999999" customHeight="1" x14ac:dyDescent="0.25">
      <c r="C314" s="31">
        <f t="shared" ref="C314:D333" ca="1" si="20">_xlfn.NORM.INV(RAND(),C$4,C$5)</f>
        <v>54.831933229325465</v>
      </c>
      <c r="D314" s="31">
        <f t="shared" ca="1" si="20"/>
        <v>110.9439761963243</v>
      </c>
      <c r="E314" s="32">
        <v>44.316052186373234</v>
      </c>
      <c r="F314" s="32">
        <v>119.08720952511254</v>
      </c>
      <c r="G314" s="17"/>
    </row>
    <row r="315" spans="3:7" ht="19.899999999999999" customHeight="1" x14ac:dyDescent="0.25">
      <c r="C315" s="31">
        <f t="shared" ca="1" si="20"/>
        <v>49.537326976831309</v>
      </c>
      <c r="D315" s="31">
        <f t="shared" ca="1" si="20"/>
        <v>107.84072642059388</v>
      </c>
      <c r="E315" s="32">
        <v>61.464915374342652</v>
      </c>
      <c r="F315" s="32">
        <v>117.37781545839169</v>
      </c>
      <c r="G315" s="17"/>
    </row>
    <row r="316" spans="3:7" ht="19.899999999999999" customHeight="1" x14ac:dyDescent="0.25">
      <c r="C316" s="31">
        <f t="shared" ca="1" si="20"/>
        <v>78.627951423177478</v>
      </c>
      <c r="D316" s="31">
        <f t="shared" ca="1" si="20"/>
        <v>126.32436361748358</v>
      </c>
      <c r="E316" s="32">
        <v>65.946481363180567</v>
      </c>
      <c r="F316" s="32">
        <v>117.77938036508647</v>
      </c>
      <c r="G316" s="17"/>
    </row>
    <row r="317" spans="3:7" ht="19.899999999999999" customHeight="1" x14ac:dyDescent="0.25">
      <c r="C317" s="31">
        <f t="shared" ca="1" si="20"/>
        <v>39.556603430637118</v>
      </c>
      <c r="D317" s="31">
        <f t="shared" ca="1" si="20"/>
        <v>98.571803235895104</v>
      </c>
      <c r="E317" s="32">
        <v>53.225719518248638</v>
      </c>
      <c r="F317" s="32">
        <v>123.34351982221548</v>
      </c>
      <c r="G317" s="17"/>
    </row>
    <row r="318" spans="3:7" ht="19.899999999999999" customHeight="1" x14ac:dyDescent="0.25">
      <c r="C318" s="31">
        <f t="shared" ca="1" si="20"/>
        <v>46.534218874463939</v>
      </c>
      <c r="D318" s="31">
        <f t="shared" ca="1" si="20"/>
        <v>133.25607817836496</v>
      </c>
      <c r="E318" s="32">
        <v>49.316806766042959</v>
      </c>
      <c r="F318" s="32">
        <v>102.17096545245282</v>
      </c>
      <c r="G318" s="17"/>
    </row>
    <row r="319" spans="3:7" ht="19.899999999999999" customHeight="1" x14ac:dyDescent="0.25">
      <c r="C319" s="31">
        <f t="shared" ca="1" si="20"/>
        <v>36.188861894302953</v>
      </c>
      <c r="D319" s="31">
        <f t="shared" ca="1" si="20"/>
        <v>101.7570106887556</v>
      </c>
      <c r="E319" s="32">
        <v>79.436380369756989</v>
      </c>
      <c r="F319" s="32">
        <v>93.467031030239966</v>
      </c>
      <c r="G319" s="17"/>
    </row>
    <row r="320" spans="3:7" ht="19.899999999999999" customHeight="1" x14ac:dyDescent="0.25">
      <c r="C320" s="31">
        <f t="shared" ca="1" si="20"/>
        <v>87.299022251330456</v>
      </c>
      <c r="D320" s="31">
        <f t="shared" ca="1" si="20"/>
        <v>117.82154783839626</v>
      </c>
      <c r="E320" s="32">
        <v>32.168126953614021</v>
      </c>
      <c r="F320" s="32">
        <v>115.34328469858313</v>
      </c>
      <c r="G320" s="17"/>
    </row>
    <row r="321" spans="3:7" ht="19.899999999999999" customHeight="1" x14ac:dyDescent="0.25">
      <c r="C321" s="31">
        <f t="shared" ca="1" si="20"/>
        <v>49.327124855742582</v>
      </c>
      <c r="D321" s="31">
        <f t="shared" ca="1" si="20"/>
        <v>100.39528288950241</v>
      </c>
      <c r="E321" s="32">
        <v>44.830153052571056</v>
      </c>
      <c r="F321" s="32">
        <v>89.453809626526123</v>
      </c>
      <c r="G321" s="17"/>
    </row>
    <row r="322" spans="3:7" ht="19.899999999999999" customHeight="1" x14ac:dyDescent="0.25">
      <c r="C322" s="31">
        <f t="shared" ca="1" si="20"/>
        <v>47.760104296231724</v>
      </c>
      <c r="D322" s="31">
        <f t="shared" ca="1" si="20"/>
        <v>127.97790577973512</v>
      </c>
      <c r="E322" s="32">
        <v>63.607193079056231</v>
      </c>
      <c r="F322" s="32">
        <v>128.44555512016473</v>
      </c>
      <c r="G322" s="17"/>
    </row>
    <row r="323" spans="3:7" ht="19.899999999999999" customHeight="1" x14ac:dyDescent="0.25">
      <c r="C323" s="31">
        <f t="shared" ca="1" si="20"/>
        <v>97.006678758874642</v>
      </c>
      <c r="D323" s="31">
        <f t="shared" ca="1" si="20"/>
        <v>139.70646077052379</v>
      </c>
      <c r="E323" s="32">
        <v>43.386374750583691</v>
      </c>
      <c r="F323" s="32">
        <v>121.11516160021414</v>
      </c>
      <c r="G323" s="17"/>
    </row>
    <row r="324" spans="3:7" ht="19.899999999999999" customHeight="1" x14ac:dyDescent="0.25">
      <c r="C324" s="31">
        <f t="shared" ca="1" si="20"/>
        <v>36.620099208914425</v>
      </c>
      <c r="D324" s="31">
        <f t="shared" ca="1" si="20"/>
        <v>105.41906994435683</v>
      </c>
      <c r="E324" s="32">
        <v>28.645328114453402</v>
      </c>
      <c r="F324" s="32">
        <v>107.09009219426235</v>
      </c>
      <c r="G324" s="17"/>
    </row>
    <row r="325" spans="3:7" ht="19.899999999999999" customHeight="1" x14ac:dyDescent="0.25">
      <c r="C325" s="31">
        <f t="shared" ca="1" si="20"/>
        <v>44.570386367951166</v>
      </c>
      <c r="D325" s="31">
        <f t="shared" ca="1" si="20"/>
        <v>99.889974850429738</v>
      </c>
      <c r="E325" s="32">
        <v>43.708609593653691</v>
      </c>
      <c r="F325" s="32">
        <v>124.77643761683723</v>
      </c>
      <c r="G325" s="17"/>
    </row>
    <row r="326" spans="3:7" ht="19.899999999999999" customHeight="1" x14ac:dyDescent="0.25">
      <c r="C326" s="31">
        <f t="shared" ca="1" si="20"/>
        <v>69.425902039358249</v>
      </c>
      <c r="D326" s="31">
        <f t="shared" ca="1" si="20"/>
        <v>98.149772845883263</v>
      </c>
      <c r="E326" s="32">
        <v>55.50590132011699</v>
      </c>
      <c r="F326" s="32">
        <v>117.31876405604754</v>
      </c>
      <c r="G326" s="17"/>
    </row>
    <row r="327" spans="3:7" ht="19.899999999999999" customHeight="1" x14ac:dyDescent="0.25">
      <c r="C327" s="31">
        <f t="shared" ca="1" si="20"/>
        <v>49.449245751321037</v>
      </c>
      <c r="D327" s="31">
        <f t="shared" ca="1" si="20"/>
        <v>101.98754983858144</v>
      </c>
      <c r="E327" s="32">
        <v>45.021112587702483</v>
      </c>
      <c r="F327" s="32">
        <v>94.229210816129779</v>
      </c>
      <c r="G327" s="17"/>
    </row>
    <row r="328" spans="3:7" ht="19.899999999999999" customHeight="1" x14ac:dyDescent="0.25">
      <c r="C328" s="31">
        <f t="shared" ca="1" si="20"/>
        <v>45.547788726541498</v>
      </c>
      <c r="D328" s="31">
        <f t="shared" ca="1" si="20"/>
        <v>92.207464923946361</v>
      </c>
      <c r="E328" s="32">
        <v>51.873192811813681</v>
      </c>
      <c r="F328" s="32">
        <v>103.11331322517063</v>
      </c>
      <c r="G328" s="17"/>
    </row>
    <row r="329" spans="3:7" ht="19.899999999999999" customHeight="1" x14ac:dyDescent="0.25">
      <c r="C329" s="31">
        <f t="shared" ca="1" si="20"/>
        <v>10.592568358724357</v>
      </c>
      <c r="D329" s="31">
        <f t="shared" ca="1" si="20"/>
        <v>117.36966797114536</v>
      </c>
      <c r="E329" s="32">
        <v>61.02003761493809</v>
      </c>
      <c r="F329" s="32">
        <v>123.65850776164321</v>
      </c>
      <c r="G329" s="17"/>
    </row>
    <row r="330" spans="3:7" ht="19.899999999999999" customHeight="1" x14ac:dyDescent="0.25">
      <c r="C330" s="31">
        <f t="shared" ca="1" si="20"/>
        <v>32.37772542858032</v>
      </c>
      <c r="D330" s="31">
        <f t="shared" ca="1" si="20"/>
        <v>115.20658993729697</v>
      </c>
      <c r="E330" s="32">
        <v>49.285794561706446</v>
      </c>
      <c r="F330" s="32">
        <v>101.42979572495132</v>
      </c>
      <c r="G330" s="17"/>
    </row>
    <row r="331" spans="3:7" ht="19.899999999999999" customHeight="1" x14ac:dyDescent="0.25">
      <c r="C331" s="31">
        <f t="shared" ca="1" si="20"/>
        <v>61.729650176016726</v>
      </c>
      <c r="D331" s="31">
        <f t="shared" ca="1" si="20"/>
        <v>103.78651349332806</v>
      </c>
      <c r="E331" s="32">
        <v>70.761307622390049</v>
      </c>
      <c r="F331" s="32">
        <v>104.64974454355445</v>
      </c>
      <c r="G331" s="17"/>
    </row>
    <row r="332" spans="3:7" ht="19.899999999999999" customHeight="1" x14ac:dyDescent="0.25">
      <c r="C332" s="31">
        <f t="shared" ca="1" si="20"/>
        <v>68.859344836651644</v>
      </c>
      <c r="D332" s="31">
        <f t="shared" ca="1" si="20"/>
        <v>111.9260815736359</v>
      </c>
      <c r="E332" s="32">
        <v>54.902110561022354</v>
      </c>
      <c r="F332" s="32">
        <v>109.25058857110983</v>
      </c>
      <c r="G332" s="17"/>
    </row>
    <row r="333" spans="3:7" ht="19.899999999999999" customHeight="1" x14ac:dyDescent="0.25">
      <c r="C333" s="31">
        <f t="shared" ca="1" si="20"/>
        <v>9.5269363250183474</v>
      </c>
      <c r="D333" s="31">
        <f t="shared" ca="1" si="20"/>
        <v>124.62372613243895</v>
      </c>
      <c r="E333" s="32">
        <v>10.908591362953786</v>
      </c>
      <c r="F333" s="32">
        <v>113.11846808873113</v>
      </c>
      <c r="G333" s="17"/>
    </row>
    <row r="334" spans="3:7" ht="19.899999999999999" customHeight="1" x14ac:dyDescent="0.25">
      <c r="C334" s="31">
        <f t="shared" ref="C334:D353" ca="1" si="21">_xlfn.NORM.INV(RAND(),C$4,C$5)</f>
        <v>36.288856796657015</v>
      </c>
      <c r="D334" s="31">
        <f t="shared" ca="1" si="21"/>
        <v>86.713906305226971</v>
      </c>
      <c r="E334" s="32">
        <v>86.617127057306703</v>
      </c>
      <c r="F334" s="32">
        <v>109.38949362492559</v>
      </c>
      <c r="G334" s="17"/>
    </row>
    <row r="335" spans="3:7" ht="19.899999999999999" customHeight="1" x14ac:dyDescent="0.25">
      <c r="C335" s="31">
        <f t="shared" ca="1" si="21"/>
        <v>46.409048453840356</v>
      </c>
      <c r="D335" s="31">
        <f t="shared" ca="1" si="21"/>
        <v>120.09574280739747</v>
      </c>
      <c r="E335" s="32">
        <v>62.068099015705847</v>
      </c>
      <c r="F335" s="32">
        <v>112.52961756391856</v>
      </c>
      <c r="G335" s="17"/>
    </row>
    <row r="336" spans="3:7" ht="19.899999999999999" customHeight="1" x14ac:dyDescent="0.25">
      <c r="C336" s="31">
        <f t="shared" ca="1" si="21"/>
        <v>70.1713665623152</v>
      </c>
      <c r="D336" s="31">
        <f t="shared" ca="1" si="21"/>
        <v>106.66196595917968</v>
      </c>
      <c r="E336" s="32">
        <v>13.761609055417523</v>
      </c>
      <c r="F336" s="32">
        <v>127.6425961577697</v>
      </c>
      <c r="G336" s="17"/>
    </row>
    <row r="337" spans="3:7" ht="19.899999999999999" customHeight="1" x14ac:dyDescent="0.25">
      <c r="C337" s="31">
        <f t="shared" ca="1" si="21"/>
        <v>40.216469568603401</v>
      </c>
      <c r="D337" s="31">
        <f t="shared" ca="1" si="21"/>
        <v>99.071574758652048</v>
      </c>
      <c r="E337" s="32">
        <v>45.504781504251191</v>
      </c>
      <c r="F337" s="32">
        <v>101.84411505192858</v>
      </c>
      <c r="G337" s="17"/>
    </row>
    <row r="338" spans="3:7" ht="19.899999999999999" customHeight="1" x14ac:dyDescent="0.25">
      <c r="C338" s="31">
        <f t="shared" ca="1" si="21"/>
        <v>26.033968216705397</v>
      </c>
      <c r="D338" s="31">
        <f t="shared" ca="1" si="21"/>
        <v>98.456087459070204</v>
      </c>
      <c r="E338" s="32">
        <v>48.563494317039812</v>
      </c>
      <c r="F338" s="32">
        <v>103.67998333496428</v>
      </c>
      <c r="G338" s="17"/>
    </row>
    <row r="339" spans="3:7" ht="19.899999999999999" customHeight="1" x14ac:dyDescent="0.25">
      <c r="C339" s="31">
        <f t="shared" ca="1" si="21"/>
        <v>59.685768574099001</v>
      </c>
      <c r="D339" s="31">
        <f t="shared" ca="1" si="21"/>
        <v>97.164847571415564</v>
      </c>
      <c r="E339" s="32">
        <v>41.174735893080019</v>
      </c>
      <c r="F339" s="32">
        <v>82.980294236354027</v>
      </c>
      <c r="G339" s="17"/>
    </row>
    <row r="340" spans="3:7" ht="19.899999999999999" customHeight="1" x14ac:dyDescent="0.25">
      <c r="C340" s="31">
        <f t="shared" ca="1" si="21"/>
        <v>71.834375385196125</v>
      </c>
      <c r="D340" s="31">
        <f t="shared" ca="1" si="21"/>
        <v>135.2944123432747</v>
      </c>
      <c r="E340" s="32">
        <v>37.954496316562029</v>
      </c>
      <c r="F340" s="32">
        <v>123.65734429553359</v>
      </c>
      <c r="G340" s="17"/>
    </row>
    <row r="341" spans="3:7" ht="19.899999999999999" customHeight="1" x14ac:dyDescent="0.25">
      <c r="C341" s="31">
        <f t="shared" ca="1" si="21"/>
        <v>79.752778122775879</v>
      </c>
      <c r="D341" s="31">
        <f t="shared" ca="1" si="21"/>
        <v>100.38826376273235</v>
      </c>
      <c r="E341" s="32">
        <v>73.421059876336642</v>
      </c>
      <c r="F341" s="32">
        <v>123.18312397666796</v>
      </c>
      <c r="G341" s="17"/>
    </row>
    <row r="342" spans="3:7" ht="19.899999999999999" customHeight="1" x14ac:dyDescent="0.25">
      <c r="C342" s="31">
        <f t="shared" ca="1" si="21"/>
        <v>31.124169174373172</v>
      </c>
      <c r="D342" s="31">
        <f t="shared" ca="1" si="21"/>
        <v>118.4078318472033</v>
      </c>
      <c r="E342" s="32">
        <v>54.642709725534139</v>
      </c>
      <c r="F342" s="32">
        <v>107.57430759216226</v>
      </c>
      <c r="G342" s="17"/>
    </row>
    <row r="343" spans="3:7" ht="19.899999999999999" customHeight="1" x14ac:dyDescent="0.25">
      <c r="C343" s="31">
        <f t="shared" ca="1" si="21"/>
        <v>60.746415491821296</v>
      </c>
      <c r="D343" s="31">
        <f t="shared" ca="1" si="21"/>
        <v>127.42744570056807</v>
      </c>
      <c r="E343" s="32">
        <v>66.085429521979293</v>
      </c>
      <c r="F343" s="32">
        <v>133.24312733196041</v>
      </c>
      <c r="G343" s="17"/>
    </row>
    <row r="344" spans="3:7" ht="19.899999999999999" customHeight="1" x14ac:dyDescent="0.25">
      <c r="C344" s="31">
        <f t="shared" ca="1" si="21"/>
        <v>28.204681237489286</v>
      </c>
      <c r="D344" s="31">
        <f t="shared" ca="1" si="21"/>
        <v>120.00302354426603</v>
      </c>
      <c r="E344" s="32">
        <v>58.146702812667321</v>
      </c>
      <c r="F344" s="32">
        <v>103.0746286626788</v>
      </c>
      <c r="G344" s="17"/>
    </row>
    <row r="345" spans="3:7" ht="19.899999999999999" customHeight="1" x14ac:dyDescent="0.25">
      <c r="C345" s="31">
        <f t="shared" ca="1" si="21"/>
        <v>41.02668452144929</v>
      </c>
      <c r="D345" s="31">
        <f t="shared" ca="1" si="21"/>
        <v>94.297061569746461</v>
      </c>
      <c r="E345" s="32">
        <v>63.986588254708202</v>
      </c>
      <c r="F345" s="32">
        <v>117.06873565659811</v>
      </c>
      <c r="G345" s="17"/>
    </row>
    <row r="346" spans="3:7" ht="19.899999999999999" customHeight="1" x14ac:dyDescent="0.25">
      <c r="C346" s="31">
        <f t="shared" ca="1" si="21"/>
        <v>19.601726370935083</v>
      </c>
      <c r="D346" s="31">
        <f t="shared" ca="1" si="21"/>
        <v>108.18846082804419</v>
      </c>
      <c r="E346" s="32">
        <v>57.195249338780712</v>
      </c>
      <c r="F346" s="32">
        <v>123.32237637337261</v>
      </c>
      <c r="G346" s="17"/>
    </row>
    <row r="347" spans="3:7" ht="19.899999999999999" customHeight="1" x14ac:dyDescent="0.25">
      <c r="C347" s="31">
        <f t="shared" ca="1" si="21"/>
        <v>59.933346265074135</v>
      </c>
      <c r="D347" s="31">
        <f t="shared" ca="1" si="21"/>
        <v>112.95612792233693</v>
      </c>
      <c r="E347" s="32">
        <v>54.544895429368474</v>
      </c>
      <c r="F347" s="32">
        <v>114.71907203557576</v>
      </c>
      <c r="G347" s="17"/>
    </row>
    <row r="348" spans="3:7" ht="19.899999999999999" customHeight="1" x14ac:dyDescent="0.25">
      <c r="C348" s="31">
        <f t="shared" ca="1" si="21"/>
        <v>42.095726114594576</v>
      </c>
      <c r="D348" s="31">
        <f t="shared" ca="1" si="21"/>
        <v>120.69589094140804</v>
      </c>
      <c r="E348" s="32">
        <v>55.795745649545417</v>
      </c>
      <c r="F348" s="32">
        <v>90.623538620954363</v>
      </c>
      <c r="G348" s="17"/>
    </row>
    <row r="349" spans="3:7" ht="19.899999999999999" customHeight="1" x14ac:dyDescent="0.25">
      <c r="C349" s="31">
        <f t="shared" ca="1" si="21"/>
        <v>31.33990665818002</v>
      </c>
      <c r="D349" s="31">
        <f t="shared" ca="1" si="21"/>
        <v>85.271289941856793</v>
      </c>
      <c r="E349" s="32">
        <v>93.875027254664161</v>
      </c>
      <c r="F349" s="32">
        <v>104.77243474028784</v>
      </c>
      <c r="G349" s="17"/>
    </row>
    <row r="350" spans="3:7" ht="19.899999999999999" customHeight="1" x14ac:dyDescent="0.25">
      <c r="C350" s="31">
        <f t="shared" ca="1" si="21"/>
        <v>63.428918938365783</v>
      </c>
      <c r="D350" s="31">
        <f t="shared" ca="1" si="21"/>
        <v>114.51671070695508</v>
      </c>
      <c r="E350" s="32">
        <v>39.534716901849414</v>
      </c>
      <c r="F350" s="32">
        <v>98.830901711391419</v>
      </c>
      <c r="G350" s="17"/>
    </row>
    <row r="351" spans="3:7" ht="19.899999999999999" customHeight="1" x14ac:dyDescent="0.25">
      <c r="C351" s="31">
        <f t="shared" ca="1" si="21"/>
        <v>68.737828318797852</v>
      </c>
      <c r="D351" s="31">
        <f t="shared" ca="1" si="21"/>
        <v>69.386148296816998</v>
      </c>
      <c r="E351" s="32">
        <v>0.48285955825769378</v>
      </c>
      <c r="F351" s="32">
        <v>108.70453276540502</v>
      </c>
      <c r="G351" s="17"/>
    </row>
    <row r="352" spans="3:7" ht="19.899999999999999" customHeight="1" x14ac:dyDescent="0.25">
      <c r="C352" s="31">
        <f t="shared" ca="1" si="21"/>
        <v>49.914395690271682</v>
      </c>
      <c r="D352" s="31">
        <f t="shared" ca="1" si="21"/>
        <v>104.75842187244776</v>
      </c>
      <c r="E352" s="32">
        <v>12.781156071666786</v>
      </c>
      <c r="F352" s="32">
        <v>107.4684531929604</v>
      </c>
      <c r="G352" s="17"/>
    </row>
    <row r="353" spans="3:7" ht="19.899999999999999" customHeight="1" x14ac:dyDescent="0.25">
      <c r="C353" s="31">
        <f t="shared" ca="1" si="21"/>
        <v>62.901278386069343</v>
      </c>
      <c r="D353" s="31">
        <f t="shared" ca="1" si="21"/>
        <v>117.9514304942888</v>
      </c>
      <c r="E353" s="32">
        <v>49.299051195292385</v>
      </c>
      <c r="F353" s="32">
        <v>119.76274681009532</v>
      </c>
      <c r="G353" s="17"/>
    </row>
    <row r="354" spans="3:7" ht="19.899999999999999" customHeight="1" x14ac:dyDescent="0.25">
      <c r="C354" s="31">
        <f t="shared" ref="C354:D373" ca="1" si="22">_xlfn.NORM.INV(RAND(),C$4,C$5)</f>
        <v>42.887745781716347</v>
      </c>
      <c r="D354" s="31">
        <f t="shared" ca="1" si="22"/>
        <v>110.18324093171593</v>
      </c>
      <c r="E354" s="32">
        <v>87.643016773741834</v>
      </c>
      <c r="F354" s="32">
        <v>128.03093031906479</v>
      </c>
      <c r="G354" s="17"/>
    </row>
    <row r="355" spans="3:7" ht="19.899999999999999" customHeight="1" x14ac:dyDescent="0.25">
      <c r="C355" s="31">
        <f t="shared" ca="1" si="22"/>
        <v>77.175609654610454</v>
      </c>
      <c r="D355" s="31">
        <f t="shared" ca="1" si="22"/>
        <v>120.11197799488778</v>
      </c>
      <c r="E355" s="32">
        <v>46.491549704668465</v>
      </c>
      <c r="F355" s="32">
        <v>131.68906455249564</v>
      </c>
      <c r="G355" s="17"/>
    </row>
    <row r="356" spans="3:7" ht="19.899999999999999" customHeight="1" x14ac:dyDescent="0.25">
      <c r="C356" s="31">
        <f t="shared" ca="1" si="22"/>
        <v>54.575909780379945</v>
      </c>
      <c r="D356" s="31">
        <f t="shared" ca="1" si="22"/>
        <v>126.19870454788443</v>
      </c>
      <c r="E356" s="32">
        <v>73.635194331713123</v>
      </c>
      <c r="F356" s="32">
        <v>117.72307748133706</v>
      </c>
      <c r="G356" s="17"/>
    </row>
    <row r="357" spans="3:7" ht="19.899999999999999" customHeight="1" x14ac:dyDescent="0.25">
      <c r="C357" s="31">
        <f t="shared" ca="1" si="22"/>
        <v>3.287335907335077</v>
      </c>
      <c r="D357" s="31">
        <f t="shared" ca="1" si="22"/>
        <v>111.92524702624036</v>
      </c>
      <c r="E357" s="32">
        <v>81.387078281059331</v>
      </c>
      <c r="F357" s="32">
        <v>141.54297504578869</v>
      </c>
      <c r="G357" s="17"/>
    </row>
    <row r="358" spans="3:7" ht="19.899999999999999" customHeight="1" x14ac:dyDescent="0.25">
      <c r="C358" s="31">
        <f t="shared" ca="1" si="22"/>
        <v>43.748391863434023</v>
      </c>
      <c r="D358" s="31">
        <f t="shared" ca="1" si="22"/>
        <v>107.31224589890522</v>
      </c>
      <c r="E358" s="32">
        <v>41.255087727172494</v>
      </c>
      <c r="F358" s="32">
        <v>95.747692448785727</v>
      </c>
      <c r="G358" s="17"/>
    </row>
    <row r="359" spans="3:7" ht="19.899999999999999" customHeight="1" x14ac:dyDescent="0.25">
      <c r="C359" s="31">
        <f t="shared" ca="1" si="22"/>
        <v>60.212458134577467</v>
      </c>
      <c r="D359" s="31">
        <f t="shared" ca="1" si="22"/>
        <v>103.68827860963189</v>
      </c>
      <c r="E359" s="32">
        <v>57.349980789193189</v>
      </c>
      <c r="F359" s="32">
        <v>105.578922896406</v>
      </c>
      <c r="G359" s="17"/>
    </row>
    <row r="360" spans="3:7" ht="19.899999999999999" customHeight="1" x14ac:dyDescent="0.25">
      <c r="C360" s="31">
        <f t="shared" ca="1" si="22"/>
        <v>92.339359263911916</v>
      </c>
      <c r="D360" s="31">
        <f t="shared" ca="1" si="22"/>
        <v>111.21779894525156</v>
      </c>
      <c r="E360" s="32">
        <v>49.031166986791462</v>
      </c>
      <c r="F360" s="32">
        <v>91.286320474341466</v>
      </c>
      <c r="G360" s="17"/>
    </row>
    <row r="361" spans="3:7" ht="19.899999999999999" customHeight="1" x14ac:dyDescent="0.25">
      <c r="C361" s="31">
        <f t="shared" ca="1" si="22"/>
        <v>77.112584026800107</v>
      </c>
      <c r="D361" s="31">
        <f t="shared" ca="1" si="22"/>
        <v>112.8638268412401</v>
      </c>
      <c r="E361" s="32">
        <v>33.050423314401755</v>
      </c>
      <c r="F361" s="32">
        <v>111.03173176363315</v>
      </c>
      <c r="G361" s="17"/>
    </row>
    <row r="362" spans="3:7" ht="19.899999999999999" customHeight="1" x14ac:dyDescent="0.25">
      <c r="C362" s="31">
        <f t="shared" ca="1" si="22"/>
        <v>53.655660274398251</v>
      </c>
      <c r="D362" s="31">
        <f t="shared" ca="1" si="22"/>
        <v>98.159614340392551</v>
      </c>
      <c r="E362" s="32">
        <v>28.018122482639761</v>
      </c>
      <c r="F362" s="32">
        <v>110.23591928328877</v>
      </c>
      <c r="G362" s="17"/>
    </row>
    <row r="363" spans="3:7" ht="19.899999999999999" customHeight="1" x14ac:dyDescent="0.25">
      <c r="C363" s="31">
        <f t="shared" ca="1" si="22"/>
        <v>63.707298167085369</v>
      </c>
      <c r="D363" s="31">
        <f t="shared" ca="1" si="22"/>
        <v>87.929212657185587</v>
      </c>
      <c r="E363" s="32">
        <v>39.782991843840421</v>
      </c>
      <c r="F363" s="32">
        <v>136.0909302015979</v>
      </c>
      <c r="G363" s="17"/>
    </row>
    <row r="364" spans="3:7" ht="19.899999999999999" customHeight="1" x14ac:dyDescent="0.25">
      <c r="C364" s="31">
        <f t="shared" ca="1" si="22"/>
        <v>42.486394280348286</v>
      </c>
      <c r="D364" s="31">
        <f t="shared" ca="1" si="22"/>
        <v>119.58947419117473</v>
      </c>
      <c r="E364" s="32">
        <v>83.411885758554973</v>
      </c>
      <c r="F364" s="32">
        <v>92.098739361016911</v>
      </c>
      <c r="G364" s="17"/>
    </row>
    <row r="365" spans="3:7" ht="19.899999999999999" customHeight="1" x14ac:dyDescent="0.25">
      <c r="C365" s="31">
        <f t="shared" ca="1" si="22"/>
        <v>60.584448017469775</v>
      </c>
      <c r="D365" s="31">
        <f t="shared" ca="1" si="22"/>
        <v>98.164065107917324</v>
      </c>
      <c r="E365" s="32">
        <v>37.990965382329208</v>
      </c>
      <c r="F365" s="32">
        <v>110.76397615298772</v>
      </c>
      <c r="G365" s="17"/>
    </row>
    <row r="366" spans="3:7" ht="19.899999999999999" customHeight="1" x14ac:dyDescent="0.25">
      <c r="C366" s="31">
        <f t="shared" ca="1" si="22"/>
        <v>49.88379010061157</v>
      </c>
      <c r="D366" s="31">
        <f t="shared" ca="1" si="22"/>
        <v>124.28782889694759</v>
      </c>
      <c r="E366" s="32">
        <v>95.74246379714431</v>
      </c>
      <c r="F366" s="32">
        <v>106.85365400066792</v>
      </c>
      <c r="G366" s="17"/>
    </row>
    <row r="367" spans="3:7" ht="19.899999999999999" customHeight="1" x14ac:dyDescent="0.25">
      <c r="C367" s="31">
        <f t="shared" ca="1" si="22"/>
        <v>71.939787303711526</v>
      </c>
      <c r="D367" s="31">
        <f t="shared" ca="1" si="22"/>
        <v>120.42283746511748</v>
      </c>
      <c r="E367" s="32">
        <v>74.780437177836276</v>
      </c>
      <c r="F367" s="32">
        <v>95.206940261055962</v>
      </c>
      <c r="G367" s="17"/>
    </row>
    <row r="368" spans="3:7" ht="19.899999999999999" customHeight="1" x14ac:dyDescent="0.25">
      <c r="C368" s="31">
        <f t="shared" ca="1" si="22"/>
        <v>34.464341376835996</v>
      </c>
      <c r="D368" s="31">
        <f t="shared" ca="1" si="22"/>
        <v>140.37421405761521</v>
      </c>
      <c r="E368" s="32">
        <v>25.219031382973892</v>
      </c>
      <c r="F368" s="32">
        <v>110.81952373129698</v>
      </c>
      <c r="G368" s="17"/>
    </row>
    <row r="369" spans="3:7" ht="19.899999999999999" customHeight="1" x14ac:dyDescent="0.25">
      <c r="C369" s="31">
        <f t="shared" ca="1" si="22"/>
        <v>74.12394920141125</v>
      </c>
      <c r="D369" s="31">
        <f t="shared" ca="1" si="22"/>
        <v>94.191899979864743</v>
      </c>
      <c r="E369" s="32">
        <v>56.532838809675823</v>
      </c>
      <c r="F369" s="32">
        <v>100.92445390403194</v>
      </c>
      <c r="G369" s="17"/>
    </row>
    <row r="370" spans="3:7" ht="19.899999999999999" customHeight="1" x14ac:dyDescent="0.25">
      <c r="C370" s="31">
        <f t="shared" ca="1" si="22"/>
        <v>33.677689846191385</v>
      </c>
      <c r="D370" s="31">
        <f t="shared" ca="1" si="22"/>
        <v>96.838687520945783</v>
      </c>
      <c r="E370" s="32">
        <v>62.237740291193624</v>
      </c>
      <c r="F370" s="32">
        <v>96.067474168320373</v>
      </c>
      <c r="G370" s="17"/>
    </row>
    <row r="371" spans="3:7" ht="19.899999999999999" customHeight="1" x14ac:dyDescent="0.25">
      <c r="C371" s="31">
        <f t="shared" ca="1" si="22"/>
        <v>38.981150645319239</v>
      </c>
      <c r="D371" s="31">
        <f t="shared" ca="1" si="22"/>
        <v>106.91414258185179</v>
      </c>
      <c r="E371" s="32">
        <v>20.553324153352239</v>
      </c>
      <c r="F371" s="32">
        <v>106.28066656244863</v>
      </c>
      <c r="G371" s="17"/>
    </row>
    <row r="372" spans="3:7" ht="19.899999999999999" customHeight="1" x14ac:dyDescent="0.25">
      <c r="C372" s="31">
        <f t="shared" ca="1" si="22"/>
        <v>32.510698460309442</v>
      </c>
      <c r="D372" s="31">
        <f t="shared" ca="1" si="22"/>
        <v>114.1798653323864</v>
      </c>
      <c r="E372" s="32">
        <v>79.059761552047235</v>
      </c>
      <c r="F372" s="32">
        <v>130.36701841899585</v>
      </c>
      <c r="G372" s="17"/>
    </row>
    <row r="373" spans="3:7" ht="19.899999999999999" customHeight="1" x14ac:dyDescent="0.25">
      <c r="C373" s="31">
        <f t="shared" ca="1" si="22"/>
        <v>41.712212172771302</v>
      </c>
      <c r="D373" s="31">
        <f t="shared" ca="1" si="22"/>
        <v>91.077832969397505</v>
      </c>
      <c r="E373" s="32">
        <v>59.247818441062428</v>
      </c>
      <c r="F373" s="32">
        <v>121.1884530999054</v>
      </c>
      <c r="G373" s="17"/>
    </row>
    <row r="374" spans="3:7" ht="19.899999999999999" customHeight="1" x14ac:dyDescent="0.25">
      <c r="C374" s="31">
        <f t="shared" ref="C374:D393" ca="1" si="23">_xlfn.NORM.INV(RAND(),C$4,C$5)</f>
        <v>62.019149866075949</v>
      </c>
      <c r="D374" s="31">
        <f t="shared" ca="1" si="23"/>
        <v>119.51611883527544</v>
      </c>
      <c r="E374" s="32">
        <v>56.529715090038508</v>
      </c>
      <c r="F374" s="32">
        <v>133.56692704287255</v>
      </c>
      <c r="G374" s="17"/>
    </row>
    <row r="375" spans="3:7" ht="19.899999999999999" customHeight="1" x14ac:dyDescent="0.25">
      <c r="C375" s="31">
        <f t="shared" ca="1" si="23"/>
        <v>57.038659721015641</v>
      </c>
      <c r="D375" s="31">
        <f t="shared" ca="1" si="23"/>
        <v>91.254687529210614</v>
      </c>
      <c r="E375" s="32">
        <v>42.579929088318551</v>
      </c>
      <c r="F375" s="32">
        <v>88.780747661621987</v>
      </c>
      <c r="G375" s="17"/>
    </row>
    <row r="376" spans="3:7" ht="19.899999999999999" customHeight="1" x14ac:dyDescent="0.25">
      <c r="C376" s="31">
        <f t="shared" ca="1" si="23"/>
        <v>69.672312454428862</v>
      </c>
      <c r="D376" s="31">
        <f t="shared" ca="1" si="23"/>
        <v>94.974772788664524</v>
      </c>
      <c r="E376" s="32">
        <v>55.445577762748663</v>
      </c>
      <c r="F376" s="32">
        <v>90.698436481000527</v>
      </c>
      <c r="G376" s="17"/>
    </row>
    <row r="377" spans="3:7" ht="19.899999999999999" customHeight="1" x14ac:dyDescent="0.25">
      <c r="C377" s="31">
        <f t="shared" ca="1" si="23"/>
        <v>31.616850233069385</v>
      </c>
      <c r="D377" s="31">
        <f t="shared" ca="1" si="23"/>
        <v>104.20234082569</v>
      </c>
      <c r="E377" s="32">
        <v>60.616904868492014</v>
      </c>
      <c r="F377" s="32">
        <v>123.66370006528017</v>
      </c>
      <c r="G377" s="17"/>
    </row>
    <row r="378" spans="3:7" ht="19.899999999999999" customHeight="1" x14ac:dyDescent="0.25">
      <c r="C378" s="31">
        <f t="shared" ca="1" si="23"/>
        <v>95.281822996944399</v>
      </c>
      <c r="D378" s="31">
        <f t="shared" ca="1" si="23"/>
        <v>114.31928445703939</v>
      </c>
      <c r="E378" s="32">
        <v>50.087631669906528</v>
      </c>
      <c r="F378" s="32">
        <v>96.132359157647272</v>
      </c>
      <c r="G378" s="17"/>
    </row>
    <row r="379" spans="3:7" ht="19.899999999999999" customHeight="1" x14ac:dyDescent="0.25">
      <c r="C379" s="31">
        <f t="shared" ca="1" si="23"/>
        <v>27.518419430384647</v>
      </c>
      <c r="D379" s="31">
        <f t="shared" ca="1" si="23"/>
        <v>92.331476341975161</v>
      </c>
      <c r="E379" s="32">
        <v>37.015431813438433</v>
      </c>
      <c r="F379" s="32">
        <v>107.28517567054091</v>
      </c>
      <c r="G379" s="17"/>
    </row>
    <row r="380" spans="3:7" ht="19.899999999999999" customHeight="1" x14ac:dyDescent="0.25">
      <c r="C380" s="31">
        <f t="shared" ca="1" si="23"/>
        <v>23.796846214729069</v>
      </c>
      <c r="D380" s="31">
        <f t="shared" ca="1" si="23"/>
        <v>84.424575362459962</v>
      </c>
      <c r="E380" s="32">
        <v>66.798772402722321</v>
      </c>
      <c r="F380" s="32">
        <v>89.813130389416685</v>
      </c>
      <c r="G380" s="17"/>
    </row>
    <row r="381" spans="3:7" ht="19.899999999999999" customHeight="1" x14ac:dyDescent="0.25">
      <c r="C381" s="31">
        <f t="shared" ca="1" si="23"/>
        <v>70.676954777119505</v>
      </c>
      <c r="D381" s="31">
        <f t="shared" ca="1" si="23"/>
        <v>96.004556590492058</v>
      </c>
      <c r="E381" s="32">
        <v>64.726824767949012</v>
      </c>
      <c r="F381" s="32">
        <v>90.702282551257341</v>
      </c>
      <c r="G381" s="17"/>
    </row>
    <row r="382" spans="3:7" ht="19.899999999999999" customHeight="1" x14ac:dyDescent="0.25">
      <c r="C382" s="31">
        <f t="shared" ca="1" si="23"/>
        <v>54.610761146494916</v>
      </c>
      <c r="D382" s="31">
        <f t="shared" ca="1" si="23"/>
        <v>101.80509410792357</v>
      </c>
      <c r="E382" s="32">
        <v>54.574012201461713</v>
      </c>
      <c r="F382" s="32">
        <v>96.601090722007669</v>
      </c>
      <c r="G382" s="17"/>
    </row>
    <row r="383" spans="3:7" ht="19.899999999999999" customHeight="1" x14ac:dyDescent="0.25">
      <c r="C383" s="31">
        <f t="shared" ca="1" si="23"/>
        <v>64.67315406356542</v>
      </c>
      <c r="D383" s="31">
        <f t="shared" ca="1" si="23"/>
        <v>104.96235383465195</v>
      </c>
      <c r="E383" s="32">
        <v>49.520114920402229</v>
      </c>
      <c r="F383" s="32">
        <v>112.60616837777424</v>
      </c>
      <c r="G383" s="17"/>
    </row>
    <row r="384" spans="3:7" ht="19.899999999999999" customHeight="1" x14ac:dyDescent="0.25">
      <c r="C384" s="31">
        <f t="shared" ca="1" si="23"/>
        <v>49.391345228000134</v>
      </c>
      <c r="D384" s="31">
        <f t="shared" ca="1" si="23"/>
        <v>114.14422375507512</v>
      </c>
      <c r="E384" s="32">
        <v>27.335926315226438</v>
      </c>
      <c r="F384" s="32">
        <v>94.297089154095204</v>
      </c>
      <c r="G384" s="17"/>
    </row>
    <row r="385" spans="3:7" ht="19.899999999999999" customHeight="1" x14ac:dyDescent="0.25">
      <c r="C385" s="31">
        <f t="shared" ca="1" si="23"/>
        <v>42.509229846421547</v>
      </c>
      <c r="D385" s="31">
        <f t="shared" ca="1" si="23"/>
        <v>106.21428441775657</v>
      </c>
      <c r="E385" s="32">
        <v>37.852622419048167</v>
      </c>
      <c r="F385" s="32">
        <v>114.7096671901796</v>
      </c>
      <c r="G385" s="17"/>
    </row>
    <row r="386" spans="3:7" ht="19.899999999999999" customHeight="1" x14ac:dyDescent="0.25">
      <c r="C386" s="31">
        <f t="shared" ca="1" si="23"/>
        <v>30.405125693010287</v>
      </c>
      <c r="D386" s="31">
        <f t="shared" ca="1" si="23"/>
        <v>103.65565584905478</v>
      </c>
      <c r="E386" s="32">
        <v>72.104637550450462</v>
      </c>
      <c r="F386" s="32">
        <v>101.45924257433067</v>
      </c>
      <c r="G386" s="17"/>
    </row>
    <row r="387" spans="3:7" ht="19.899999999999999" customHeight="1" x14ac:dyDescent="0.25">
      <c r="C387" s="31">
        <f t="shared" ca="1" si="23"/>
        <v>75.36547028594029</v>
      </c>
      <c r="D387" s="31">
        <f t="shared" ca="1" si="23"/>
        <v>118.79604508328306</v>
      </c>
      <c r="E387" s="32">
        <v>54.004598120366261</v>
      </c>
      <c r="F387" s="32">
        <v>119.38396006357932</v>
      </c>
      <c r="G387" s="17"/>
    </row>
    <row r="388" spans="3:7" ht="19.899999999999999" customHeight="1" x14ac:dyDescent="0.25">
      <c r="C388" s="31">
        <f t="shared" ca="1" si="23"/>
        <v>38.350462622399782</v>
      </c>
      <c r="D388" s="31">
        <f t="shared" ca="1" si="23"/>
        <v>98.183983288786933</v>
      </c>
      <c r="E388" s="32">
        <v>40.429073680582853</v>
      </c>
      <c r="F388" s="32">
        <v>110.97149366853236</v>
      </c>
      <c r="G388" s="17"/>
    </row>
    <row r="389" spans="3:7" ht="19.899999999999999" customHeight="1" x14ac:dyDescent="0.25">
      <c r="C389" s="31">
        <f t="shared" ca="1" si="23"/>
        <v>33.980194926995452</v>
      </c>
      <c r="D389" s="31">
        <f t="shared" ca="1" si="23"/>
        <v>111.28841568610022</v>
      </c>
      <c r="E389" s="32">
        <v>78.622275166379509</v>
      </c>
      <c r="F389" s="32">
        <v>111.27883645444072</v>
      </c>
      <c r="G389" s="17"/>
    </row>
    <row r="390" spans="3:7" ht="19.899999999999999" customHeight="1" x14ac:dyDescent="0.25">
      <c r="C390" s="31">
        <f t="shared" ca="1" si="23"/>
        <v>38.304412698860745</v>
      </c>
      <c r="D390" s="31">
        <f t="shared" ca="1" si="23"/>
        <v>102.15111227764962</v>
      </c>
      <c r="E390" s="32">
        <v>12.700186287692354</v>
      </c>
      <c r="F390" s="32">
        <v>111.2712786184361</v>
      </c>
      <c r="G390" s="17"/>
    </row>
    <row r="391" spans="3:7" ht="19.899999999999999" customHeight="1" x14ac:dyDescent="0.25">
      <c r="C391" s="31">
        <f t="shared" ca="1" si="23"/>
        <v>9.8417364281477973</v>
      </c>
      <c r="D391" s="31">
        <f t="shared" ca="1" si="23"/>
        <v>119.42290475058996</v>
      </c>
      <c r="E391" s="32">
        <v>45.010735697210535</v>
      </c>
      <c r="F391" s="32">
        <v>134.18771420427973</v>
      </c>
      <c r="G391" s="17"/>
    </row>
    <row r="392" spans="3:7" ht="19.899999999999999" customHeight="1" x14ac:dyDescent="0.25">
      <c r="C392" s="31">
        <f t="shared" ca="1" si="23"/>
        <v>54.150403017761555</v>
      </c>
      <c r="D392" s="31">
        <f t="shared" ca="1" si="23"/>
        <v>91.031917829843763</v>
      </c>
      <c r="E392" s="32">
        <v>55.87778156946559</v>
      </c>
      <c r="F392" s="32">
        <v>89.855136402837047</v>
      </c>
      <c r="G392" s="17"/>
    </row>
    <row r="393" spans="3:7" ht="19.899999999999999" customHeight="1" x14ac:dyDescent="0.25">
      <c r="C393" s="31">
        <f t="shared" ca="1" si="23"/>
        <v>48.324678478194969</v>
      </c>
      <c r="D393" s="31">
        <f t="shared" ca="1" si="23"/>
        <v>113.33923025426569</v>
      </c>
      <c r="E393" s="32">
        <v>7.274830853284314</v>
      </c>
      <c r="F393" s="32">
        <v>123.71127400991391</v>
      </c>
      <c r="G393" s="17"/>
    </row>
    <row r="394" spans="3:7" ht="19.899999999999999" customHeight="1" x14ac:dyDescent="0.25">
      <c r="C394" s="31">
        <f t="shared" ref="C394:D413" ca="1" si="24">_xlfn.NORM.INV(RAND(),C$4,C$5)</f>
        <v>49.488872793923782</v>
      </c>
      <c r="D394" s="31">
        <f t="shared" ca="1" si="24"/>
        <v>100.17988142338504</v>
      </c>
      <c r="E394" s="32">
        <v>32.961726399938087</v>
      </c>
      <c r="F394" s="32">
        <v>126.50213140911029</v>
      </c>
      <c r="G394" s="17"/>
    </row>
    <row r="395" spans="3:7" ht="19.899999999999999" customHeight="1" x14ac:dyDescent="0.25">
      <c r="C395" s="31">
        <f t="shared" ca="1" si="24"/>
        <v>14.371043771747168</v>
      </c>
      <c r="D395" s="31">
        <f t="shared" ca="1" si="24"/>
        <v>108.62582519797544</v>
      </c>
      <c r="E395" s="32">
        <v>38.285403121501815</v>
      </c>
      <c r="F395" s="32">
        <v>134.80480797646663</v>
      </c>
      <c r="G395" s="17"/>
    </row>
    <row r="396" spans="3:7" ht="19.899999999999999" customHeight="1" x14ac:dyDescent="0.25">
      <c r="C396" s="31">
        <f t="shared" ca="1" si="24"/>
        <v>-17.108225505790912</v>
      </c>
      <c r="D396" s="31">
        <f t="shared" ca="1" si="24"/>
        <v>108.81120334168797</v>
      </c>
      <c r="E396" s="32">
        <v>53.111582120053647</v>
      </c>
      <c r="F396" s="32">
        <v>99.925147880498116</v>
      </c>
      <c r="G396" s="17"/>
    </row>
    <row r="397" spans="3:7" ht="19.899999999999999" customHeight="1" x14ac:dyDescent="0.25">
      <c r="C397" s="31">
        <f t="shared" ca="1" si="24"/>
        <v>0.28433855890704507</v>
      </c>
      <c r="D397" s="31">
        <f t="shared" ca="1" si="24"/>
        <v>97.525866940042832</v>
      </c>
      <c r="E397" s="32">
        <v>54.291339631523897</v>
      </c>
      <c r="F397" s="32">
        <v>99.287465290185054</v>
      </c>
      <c r="G397" s="17"/>
    </row>
    <row r="398" spans="3:7" ht="19.899999999999999" customHeight="1" x14ac:dyDescent="0.25">
      <c r="C398" s="31">
        <f t="shared" ca="1" si="24"/>
        <v>70.503559214028556</v>
      </c>
      <c r="D398" s="31">
        <f t="shared" ca="1" si="24"/>
        <v>83.739256401612366</v>
      </c>
      <c r="E398" s="32">
        <v>69.652688469771306</v>
      </c>
      <c r="F398" s="32">
        <v>124.53780760720805</v>
      </c>
      <c r="G398" s="17"/>
    </row>
    <row r="399" spans="3:7" ht="19.899999999999999" customHeight="1" x14ac:dyDescent="0.25">
      <c r="C399" s="31">
        <f t="shared" ca="1" si="24"/>
        <v>42.990071442005906</v>
      </c>
      <c r="D399" s="31">
        <f t="shared" ca="1" si="24"/>
        <v>123.08451261387947</v>
      </c>
      <c r="E399" s="32">
        <v>70.39882427151619</v>
      </c>
      <c r="F399" s="32">
        <v>83.761584923440651</v>
      </c>
      <c r="G399" s="17"/>
    </row>
    <row r="400" spans="3:7" ht="19.899999999999999" customHeight="1" x14ac:dyDescent="0.25">
      <c r="C400" s="31">
        <f t="shared" ca="1" si="24"/>
        <v>52.424836107851611</v>
      </c>
      <c r="D400" s="31">
        <f t="shared" ca="1" si="24"/>
        <v>133.72986359174806</v>
      </c>
      <c r="E400" s="32">
        <v>68.607099756971209</v>
      </c>
      <c r="F400" s="32">
        <v>119.98482393458693</v>
      </c>
      <c r="G400" s="17"/>
    </row>
    <row r="401" spans="3:7" ht="19.899999999999999" customHeight="1" x14ac:dyDescent="0.25">
      <c r="C401" s="31">
        <f t="shared" ca="1" si="24"/>
        <v>58.208825314523025</v>
      </c>
      <c r="D401" s="31">
        <f t="shared" ca="1" si="24"/>
        <v>100.97017050182249</v>
      </c>
      <c r="E401" s="32">
        <v>37.009912724287958</v>
      </c>
      <c r="F401" s="32">
        <v>108.92841696699253</v>
      </c>
      <c r="G401" s="17"/>
    </row>
    <row r="402" spans="3:7" ht="19.899999999999999" customHeight="1" x14ac:dyDescent="0.25">
      <c r="C402" s="31">
        <f t="shared" ca="1" si="24"/>
        <v>-0.78003884553122305</v>
      </c>
      <c r="D402" s="31">
        <f t="shared" ca="1" si="24"/>
        <v>113.09041096863947</v>
      </c>
      <c r="E402" s="32">
        <v>37.231765243472935</v>
      </c>
      <c r="F402" s="32">
        <v>118.76988144275722</v>
      </c>
      <c r="G402" s="17"/>
    </row>
    <row r="403" spans="3:7" ht="19.899999999999999" customHeight="1" x14ac:dyDescent="0.25">
      <c r="C403" s="31">
        <f t="shared" ca="1" si="24"/>
        <v>73.145363592304847</v>
      </c>
      <c r="D403" s="31">
        <f t="shared" ca="1" si="24"/>
        <v>114.53953736795094</v>
      </c>
      <c r="E403" s="32">
        <v>50.596585765717926</v>
      </c>
      <c r="F403" s="32">
        <v>102.68916354821384</v>
      </c>
      <c r="G403" s="17"/>
    </row>
    <row r="404" spans="3:7" ht="19.899999999999999" customHeight="1" x14ac:dyDescent="0.25">
      <c r="C404" s="31">
        <f t="shared" ca="1" si="24"/>
        <v>64.90208265084749</v>
      </c>
      <c r="D404" s="31">
        <f t="shared" ca="1" si="24"/>
        <v>101.05258232527069</v>
      </c>
      <c r="E404" s="32">
        <v>32.288762081027762</v>
      </c>
      <c r="F404" s="32">
        <v>128.03911717108227</v>
      </c>
      <c r="G404" s="17"/>
    </row>
    <row r="405" spans="3:7" ht="19.899999999999999" customHeight="1" x14ac:dyDescent="0.25">
      <c r="C405" s="31">
        <f t="shared" ca="1" si="24"/>
        <v>90.377628934727142</v>
      </c>
      <c r="D405" s="31">
        <f t="shared" ca="1" si="24"/>
        <v>105.97801216783728</v>
      </c>
      <c r="E405" s="32">
        <v>81.977047403341516</v>
      </c>
      <c r="F405" s="32">
        <v>102.41110329606524</v>
      </c>
      <c r="G405" s="17"/>
    </row>
    <row r="406" spans="3:7" ht="19.899999999999999" customHeight="1" x14ac:dyDescent="0.25">
      <c r="C406" s="31">
        <f t="shared" ca="1" si="24"/>
        <v>64.876620362547285</v>
      </c>
      <c r="D406" s="31">
        <f t="shared" ca="1" si="24"/>
        <v>111.60009382293674</v>
      </c>
      <c r="E406" s="32">
        <v>48.083052729078574</v>
      </c>
      <c r="F406" s="32">
        <v>97.137557105102928</v>
      </c>
      <c r="G406" s="17"/>
    </row>
    <row r="407" spans="3:7" ht="19.899999999999999" customHeight="1" x14ac:dyDescent="0.25">
      <c r="C407" s="31">
        <f t="shared" ca="1" si="24"/>
        <v>58.516497565780213</v>
      </c>
      <c r="D407" s="31">
        <f t="shared" ca="1" si="24"/>
        <v>97.175430049281772</v>
      </c>
      <c r="E407" s="32">
        <v>62.97683032381552</v>
      </c>
      <c r="F407" s="32">
        <v>117.28685885545579</v>
      </c>
      <c r="G407" s="17"/>
    </row>
    <row r="408" spans="3:7" ht="19.899999999999999" customHeight="1" x14ac:dyDescent="0.25">
      <c r="C408" s="31">
        <f t="shared" ca="1" si="24"/>
        <v>51.099378347770021</v>
      </c>
      <c r="D408" s="31">
        <f t="shared" ca="1" si="24"/>
        <v>122.47331062227936</v>
      </c>
      <c r="E408" s="32">
        <v>27.227012769260828</v>
      </c>
      <c r="F408" s="32">
        <v>100.62193265709247</v>
      </c>
      <c r="G408" s="17"/>
    </row>
    <row r="409" spans="3:7" ht="19.899999999999999" customHeight="1" x14ac:dyDescent="0.25">
      <c r="C409" s="31">
        <f t="shared" ca="1" si="24"/>
        <v>79.489397368485612</v>
      </c>
      <c r="D409" s="31">
        <f t="shared" ca="1" si="24"/>
        <v>118.47603481723398</v>
      </c>
      <c r="E409" s="32">
        <v>52.276326534446333</v>
      </c>
      <c r="F409" s="32">
        <v>134.55133999545927</v>
      </c>
      <c r="G409" s="17"/>
    </row>
    <row r="410" spans="3:7" ht="19.899999999999999" customHeight="1" x14ac:dyDescent="0.25">
      <c r="C410" s="31">
        <f t="shared" ca="1" si="24"/>
        <v>53.22994594940544</v>
      </c>
      <c r="D410" s="31">
        <f t="shared" ca="1" si="24"/>
        <v>121.75203019597355</v>
      </c>
      <c r="E410" s="32">
        <v>20.4611951792097</v>
      </c>
      <c r="F410" s="32">
        <v>86.969290491044902</v>
      </c>
      <c r="G410" s="17"/>
    </row>
    <row r="411" spans="3:7" ht="19.899999999999999" customHeight="1" x14ac:dyDescent="0.25">
      <c r="C411" s="31">
        <f t="shared" ca="1" si="24"/>
        <v>66.614554742423721</v>
      </c>
      <c r="D411" s="31">
        <f t="shared" ca="1" si="24"/>
        <v>104.99198592479847</v>
      </c>
      <c r="E411" s="32">
        <v>14.001586506017119</v>
      </c>
      <c r="F411" s="32">
        <v>123.59246036973592</v>
      </c>
      <c r="G411" s="17"/>
    </row>
    <row r="412" spans="3:7" ht="19.899999999999999" customHeight="1" x14ac:dyDescent="0.25">
      <c r="C412" s="31">
        <f t="shared" ca="1" si="24"/>
        <v>32.336290173315284</v>
      </c>
      <c r="D412" s="31">
        <f t="shared" ca="1" si="24"/>
        <v>106.05404649107145</v>
      </c>
      <c r="E412" s="32">
        <v>58.568986868179053</v>
      </c>
      <c r="F412" s="32">
        <v>76.77102214562268</v>
      </c>
      <c r="G412" s="17"/>
    </row>
    <row r="413" spans="3:7" ht="19.899999999999999" customHeight="1" x14ac:dyDescent="0.25">
      <c r="C413" s="31">
        <f t="shared" ca="1" si="24"/>
        <v>36.023635201748334</v>
      </c>
      <c r="D413" s="31">
        <f t="shared" ca="1" si="24"/>
        <v>107.52573036393191</v>
      </c>
      <c r="E413" s="32">
        <v>56.496456671122516</v>
      </c>
      <c r="F413" s="32">
        <v>123.98916657072266</v>
      </c>
      <c r="G413" s="17"/>
    </row>
    <row r="414" spans="3:7" ht="19.899999999999999" customHeight="1" x14ac:dyDescent="0.25">
      <c r="C414" s="31">
        <f t="shared" ref="C414:D433" ca="1" si="25">_xlfn.NORM.INV(RAND(),C$4,C$5)</f>
        <v>44.208159071070028</v>
      </c>
      <c r="D414" s="31">
        <f t="shared" ca="1" si="25"/>
        <v>74.550224739840559</v>
      </c>
      <c r="E414" s="32">
        <v>89.795378681660225</v>
      </c>
      <c r="F414" s="32">
        <v>103.00435351283132</v>
      </c>
      <c r="G414" s="17"/>
    </row>
    <row r="415" spans="3:7" ht="19.899999999999999" customHeight="1" x14ac:dyDescent="0.25">
      <c r="C415" s="31">
        <f t="shared" ca="1" si="25"/>
        <v>36.414943231194144</v>
      </c>
      <c r="D415" s="31">
        <f t="shared" ca="1" si="25"/>
        <v>116.99243225679068</v>
      </c>
      <c r="E415" s="32">
        <v>70.907109563293517</v>
      </c>
      <c r="F415" s="32">
        <v>98.728001400347651</v>
      </c>
      <c r="G415" s="17"/>
    </row>
    <row r="416" spans="3:7" ht="19.899999999999999" customHeight="1" x14ac:dyDescent="0.25">
      <c r="C416" s="31">
        <f t="shared" ca="1" si="25"/>
        <v>33.535018457074159</v>
      </c>
      <c r="D416" s="31">
        <f t="shared" ca="1" si="25"/>
        <v>136.78774041330126</v>
      </c>
      <c r="E416" s="32">
        <v>88.18924496825025</v>
      </c>
      <c r="F416" s="32">
        <v>106.46125989981822</v>
      </c>
      <c r="G416" s="17"/>
    </row>
    <row r="417" spans="3:7" ht="19.899999999999999" customHeight="1" x14ac:dyDescent="0.25">
      <c r="C417" s="31">
        <f t="shared" ca="1" si="25"/>
        <v>38.420626338149383</v>
      </c>
      <c r="D417" s="31">
        <f t="shared" ca="1" si="25"/>
        <v>101.6630677662277</v>
      </c>
      <c r="E417" s="32">
        <v>72.881946090499369</v>
      </c>
      <c r="F417" s="32">
        <v>134.24923207418394</v>
      </c>
      <c r="G417" s="17"/>
    </row>
    <row r="418" spans="3:7" ht="19.899999999999999" customHeight="1" x14ac:dyDescent="0.25">
      <c r="C418" s="31">
        <f t="shared" ca="1" si="25"/>
        <v>45.409699871362101</v>
      </c>
      <c r="D418" s="31">
        <f t="shared" ca="1" si="25"/>
        <v>114.16101670835808</v>
      </c>
      <c r="E418" s="32">
        <v>45.883190699923418</v>
      </c>
      <c r="F418" s="32">
        <v>101.39584693332235</v>
      </c>
      <c r="G418" s="17"/>
    </row>
    <row r="419" spans="3:7" ht="19.899999999999999" customHeight="1" x14ac:dyDescent="0.25">
      <c r="C419" s="31">
        <f t="shared" ca="1" si="25"/>
        <v>29.119485101513067</v>
      </c>
      <c r="D419" s="31">
        <f t="shared" ca="1" si="25"/>
        <v>87.476152420011573</v>
      </c>
      <c r="E419" s="32">
        <v>82.54039090092553</v>
      </c>
      <c r="F419" s="32">
        <v>104.13971655282023</v>
      </c>
      <c r="G419" s="17"/>
    </row>
    <row r="420" spans="3:7" ht="19.899999999999999" customHeight="1" x14ac:dyDescent="0.25">
      <c r="C420" s="31">
        <f t="shared" ca="1" si="25"/>
        <v>61.116089661603084</v>
      </c>
      <c r="D420" s="31">
        <f t="shared" ca="1" si="25"/>
        <v>114.91367928046573</v>
      </c>
      <c r="E420" s="32">
        <v>64.63358514231706</v>
      </c>
      <c r="F420" s="32">
        <v>128.05426158383489</v>
      </c>
      <c r="G420" s="17"/>
    </row>
    <row r="421" spans="3:7" ht="19.899999999999999" customHeight="1" x14ac:dyDescent="0.25">
      <c r="C421" s="31">
        <f t="shared" ca="1" si="25"/>
        <v>68.09952120984417</v>
      </c>
      <c r="D421" s="31">
        <f t="shared" ca="1" si="25"/>
        <v>89.223151284063533</v>
      </c>
      <c r="E421" s="32">
        <v>31.97010065642456</v>
      </c>
      <c r="F421" s="32">
        <v>109.19096255850344</v>
      </c>
      <c r="G421" s="17"/>
    </row>
    <row r="422" spans="3:7" ht="19.899999999999999" customHeight="1" x14ac:dyDescent="0.25">
      <c r="C422" s="31">
        <f t="shared" ca="1" si="25"/>
        <v>63.745386182221267</v>
      </c>
      <c r="D422" s="31">
        <f t="shared" ca="1" si="25"/>
        <v>122.52424912213725</v>
      </c>
      <c r="E422" s="32">
        <v>50.326292466809086</v>
      </c>
      <c r="F422" s="32">
        <v>105.49908794930718</v>
      </c>
      <c r="G422" s="17"/>
    </row>
    <row r="423" spans="3:7" ht="19.899999999999999" customHeight="1" x14ac:dyDescent="0.25">
      <c r="C423" s="31">
        <f t="shared" ca="1" si="25"/>
        <v>33.454283905826436</v>
      </c>
      <c r="D423" s="31">
        <f t="shared" ca="1" si="25"/>
        <v>110.76388689427021</v>
      </c>
      <c r="E423" s="32">
        <v>12.430139045954121</v>
      </c>
      <c r="F423" s="32">
        <v>112.28754314191858</v>
      </c>
      <c r="G423" s="17"/>
    </row>
    <row r="424" spans="3:7" ht="19.899999999999999" customHeight="1" x14ac:dyDescent="0.25">
      <c r="C424" s="31">
        <f t="shared" ca="1" si="25"/>
        <v>42.434716180135354</v>
      </c>
      <c r="D424" s="31">
        <f t="shared" ca="1" si="25"/>
        <v>119.24171138633589</v>
      </c>
      <c r="E424" s="32">
        <v>28.103257444037979</v>
      </c>
      <c r="F424" s="32">
        <v>102.92148531839415</v>
      </c>
      <c r="G424" s="17"/>
    </row>
    <row r="425" spans="3:7" ht="19.899999999999999" customHeight="1" x14ac:dyDescent="0.25">
      <c r="C425" s="31">
        <f t="shared" ca="1" si="25"/>
        <v>18.948334142472767</v>
      </c>
      <c r="D425" s="31">
        <f t="shared" ca="1" si="25"/>
        <v>104.84644038714059</v>
      </c>
      <c r="E425" s="32">
        <v>72.625701842988775</v>
      </c>
      <c r="F425" s="32">
        <v>122.52332960997273</v>
      </c>
      <c r="G425" s="17"/>
    </row>
    <row r="426" spans="3:7" ht="19.899999999999999" customHeight="1" x14ac:dyDescent="0.25">
      <c r="C426" s="31">
        <f t="shared" ca="1" si="25"/>
        <v>57.924274066847332</v>
      </c>
      <c r="D426" s="31">
        <f t="shared" ca="1" si="25"/>
        <v>116.93884223155005</v>
      </c>
      <c r="E426" s="32">
        <v>43.543867923572215</v>
      </c>
      <c r="F426" s="32">
        <v>107.26897580820139</v>
      </c>
      <c r="G426" s="17"/>
    </row>
    <row r="427" spans="3:7" ht="19.899999999999999" customHeight="1" x14ac:dyDescent="0.25">
      <c r="C427" s="31">
        <f t="shared" ca="1" si="25"/>
        <v>36.769947193298322</v>
      </c>
      <c r="D427" s="31">
        <f t="shared" ca="1" si="25"/>
        <v>119.34945624097207</v>
      </c>
      <c r="E427" s="32">
        <v>51.532560582314666</v>
      </c>
      <c r="F427" s="32">
        <v>110.83719571491483</v>
      </c>
      <c r="G427" s="17"/>
    </row>
    <row r="428" spans="3:7" ht="19.899999999999999" customHeight="1" x14ac:dyDescent="0.25">
      <c r="C428" s="31">
        <f t="shared" ca="1" si="25"/>
        <v>32.407617594683558</v>
      </c>
      <c r="D428" s="31">
        <f t="shared" ca="1" si="25"/>
        <v>91.81576642292174</v>
      </c>
      <c r="E428" s="32">
        <v>57.669715067876254</v>
      </c>
      <c r="F428" s="32">
        <v>92.522989483253028</v>
      </c>
      <c r="G428" s="17"/>
    </row>
    <row r="429" spans="3:7" ht="19.899999999999999" customHeight="1" x14ac:dyDescent="0.25">
      <c r="C429" s="31">
        <f t="shared" ca="1" si="25"/>
        <v>17.690665992436692</v>
      </c>
      <c r="D429" s="31">
        <f t="shared" ca="1" si="25"/>
        <v>101.21582556859478</v>
      </c>
      <c r="E429" s="32">
        <v>37.798509155032548</v>
      </c>
      <c r="F429" s="32">
        <v>125.7338402879181</v>
      </c>
      <c r="G429" s="17"/>
    </row>
    <row r="430" spans="3:7" ht="19.899999999999999" customHeight="1" x14ac:dyDescent="0.25">
      <c r="C430" s="31">
        <f t="shared" ca="1" si="25"/>
        <v>57.386261811277372</v>
      </c>
      <c r="D430" s="31">
        <f t="shared" ca="1" si="25"/>
        <v>88.863862841245563</v>
      </c>
      <c r="E430" s="32">
        <v>53.346163475273087</v>
      </c>
      <c r="F430" s="32">
        <v>96.6232810909638</v>
      </c>
      <c r="G430" s="17"/>
    </row>
    <row r="431" spans="3:7" ht="19.899999999999999" customHeight="1" x14ac:dyDescent="0.25">
      <c r="C431" s="31">
        <f t="shared" ca="1" si="25"/>
        <v>43.136433641657199</v>
      </c>
      <c r="D431" s="31">
        <f t="shared" ca="1" si="25"/>
        <v>107.02020217744077</v>
      </c>
      <c r="E431" s="32">
        <v>60.520701930993809</v>
      </c>
      <c r="F431" s="32">
        <v>130.55036787239587</v>
      </c>
      <c r="G431" s="17"/>
    </row>
    <row r="432" spans="3:7" ht="19.899999999999999" customHeight="1" x14ac:dyDescent="0.25">
      <c r="C432" s="31">
        <f t="shared" ca="1" si="25"/>
        <v>53.137799652298071</v>
      </c>
      <c r="D432" s="31">
        <f t="shared" ca="1" si="25"/>
        <v>90.024880185110348</v>
      </c>
      <c r="E432" s="32">
        <v>24.809811353616904</v>
      </c>
      <c r="F432" s="32">
        <v>115.95471077748698</v>
      </c>
      <c r="G432" s="17"/>
    </row>
    <row r="433" spans="3:7" ht="19.899999999999999" customHeight="1" x14ac:dyDescent="0.25">
      <c r="C433" s="31">
        <f t="shared" ca="1" si="25"/>
        <v>54.886780163944422</v>
      </c>
      <c r="D433" s="31">
        <f t="shared" ca="1" si="25"/>
        <v>113.09644048296775</v>
      </c>
      <c r="E433" s="32">
        <v>52.409859605780305</v>
      </c>
      <c r="F433" s="32">
        <v>100.54789414163069</v>
      </c>
      <c r="G433" s="17"/>
    </row>
    <row r="434" spans="3:7" ht="19.899999999999999" customHeight="1" x14ac:dyDescent="0.25">
      <c r="C434" s="31">
        <f t="shared" ref="C434:D453" ca="1" si="26">_xlfn.NORM.INV(RAND(),C$4,C$5)</f>
        <v>42.652615715212612</v>
      </c>
      <c r="D434" s="31">
        <f t="shared" ca="1" si="26"/>
        <v>113.66878950390171</v>
      </c>
      <c r="E434" s="32">
        <v>95.142719167870268</v>
      </c>
      <c r="F434" s="32">
        <v>102.62932419916721</v>
      </c>
      <c r="G434" s="17"/>
    </row>
    <row r="435" spans="3:7" ht="19.899999999999999" customHeight="1" x14ac:dyDescent="0.25">
      <c r="C435" s="31">
        <f t="shared" ca="1" si="26"/>
        <v>72.439402199718245</v>
      </c>
      <c r="D435" s="31">
        <f t="shared" ca="1" si="26"/>
        <v>119.48909663657197</v>
      </c>
      <c r="E435" s="32">
        <v>61.642029359206816</v>
      </c>
      <c r="F435" s="32">
        <v>91.955487271910926</v>
      </c>
      <c r="G435" s="17"/>
    </row>
    <row r="436" spans="3:7" ht="19.899999999999999" customHeight="1" x14ac:dyDescent="0.25">
      <c r="C436" s="31">
        <f t="shared" ca="1" si="26"/>
        <v>29.530774040026316</v>
      </c>
      <c r="D436" s="31">
        <f t="shared" ca="1" si="26"/>
        <v>121.1801797175241</v>
      </c>
      <c r="E436" s="32">
        <v>45.04630801923296</v>
      </c>
      <c r="F436" s="32">
        <v>114.53783637447016</v>
      </c>
      <c r="G436" s="17"/>
    </row>
    <row r="437" spans="3:7" ht="19.899999999999999" customHeight="1" x14ac:dyDescent="0.25">
      <c r="C437" s="31">
        <f t="shared" ca="1" si="26"/>
        <v>33.00823279860532</v>
      </c>
      <c r="D437" s="31">
        <f t="shared" ca="1" si="26"/>
        <v>84.727364076511307</v>
      </c>
      <c r="E437" s="32">
        <v>82.279106072363973</v>
      </c>
      <c r="F437" s="32">
        <v>136.9990201704081</v>
      </c>
      <c r="G437" s="17"/>
    </row>
    <row r="438" spans="3:7" ht="19.899999999999999" customHeight="1" x14ac:dyDescent="0.25">
      <c r="C438" s="31">
        <f t="shared" ca="1" si="26"/>
        <v>58.784496960619521</v>
      </c>
      <c r="D438" s="31">
        <f t="shared" ca="1" si="26"/>
        <v>111.39231697001877</v>
      </c>
      <c r="E438" s="32">
        <v>57.432002579818977</v>
      </c>
      <c r="F438" s="32">
        <v>104.41757390681454</v>
      </c>
      <c r="G438" s="17"/>
    </row>
    <row r="439" spans="3:7" ht="19.899999999999999" customHeight="1" x14ac:dyDescent="0.25">
      <c r="C439" s="31">
        <f t="shared" ca="1" si="26"/>
        <v>62.667293244349707</v>
      </c>
      <c r="D439" s="31">
        <f t="shared" ca="1" si="26"/>
        <v>94.091883218530938</v>
      </c>
      <c r="E439" s="32">
        <v>21.903510395935523</v>
      </c>
      <c r="F439" s="32">
        <v>98.658383203388681</v>
      </c>
      <c r="G439" s="17"/>
    </row>
    <row r="440" spans="3:7" ht="19.899999999999999" customHeight="1" x14ac:dyDescent="0.25">
      <c r="C440" s="31">
        <f t="shared" ca="1" si="26"/>
        <v>55.380746289735995</v>
      </c>
      <c r="D440" s="31">
        <f t="shared" ca="1" si="26"/>
        <v>99.193829625814345</v>
      </c>
      <c r="E440" s="32">
        <v>66.12066963665373</v>
      </c>
      <c r="F440" s="32">
        <v>113.55899686787313</v>
      </c>
      <c r="G440" s="17"/>
    </row>
    <row r="441" spans="3:7" ht="19.899999999999999" customHeight="1" x14ac:dyDescent="0.25">
      <c r="C441" s="31">
        <f t="shared" ca="1" si="26"/>
        <v>19.220176265136409</v>
      </c>
      <c r="D441" s="31">
        <f t="shared" ca="1" si="26"/>
        <v>127.95701594835091</v>
      </c>
      <c r="E441" s="32">
        <v>39.029256991732424</v>
      </c>
      <c r="F441" s="32">
        <v>117.8454318112655</v>
      </c>
      <c r="G441" s="17"/>
    </row>
    <row r="442" spans="3:7" ht="19.899999999999999" customHeight="1" x14ac:dyDescent="0.25">
      <c r="C442" s="31">
        <f t="shared" ca="1" si="26"/>
        <v>35.493819167134909</v>
      </c>
      <c r="D442" s="31">
        <f t="shared" ca="1" si="26"/>
        <v>113.6721592145494</v>
      </c>
      <c r="E442" s="32">
        <v>79.869996025768984</v>
      </c>
      <c r="F442" s="32">
        <v>127.96971889406616</v>
      </c>
      <c r="G442" s="17"/>
    </row>
    <row r="443" spans="3:7" ht="19.899999999999999" customHeight="1" x14ac:dyDescent="0.25">
      <c r="C443" s="31">
        <f t="shared" ca="1" si="26"/>
        <v>59.025235001520187</v>
      </c>
      <c r="D443" s="31">
        <f t="shared" ca="1" si="26"/>
        <v>109.71312601375303</v>
      </c>
      <c r="E443" s="32">
        <v>40.445062826682118</v>
      </c>
      <c r="F443" s="32">
        <v>104.51120043873625</v>
      </c>
      <c r="G443" s="17"/>
    </row>
    <row r="444" spans="3:7" ht="19.899999999999999" customHeight="1" x14ac:dyDescent="0.25">
      <c r="C444" s="31">
        <f t="shared" ca="1" si="26"/>
        <v>53.352152278897726</v>
      </c>
      <c r="D444" s="31">
        <f t="shared" ca="1" si="26"/>
        <v>120.66555812327543</v>
      </c>
      <c r="E444" s="32">
        <v>49.976560926894251</v>
      </c>
      <c r="F444" s="32">
        <v>114.00596579395874</v>
      </c>
      <c r="G444" s="17"/>
    </row>
    <row r="445" spans="3:7" ht="19.899999999999999" customHeight="1" x14ac:dyDescent="0.25">
      <c r="C445" s="31">
        <f t="shared" ca="1" si="26"/>
        <v>48.519346679935651</v>
      </c>
      <c r="D445" s="31">
        <f t="shared" ca="1" si="26"/>
        <v>92.371090736930483</v>
      </c>
      <c r="E445" s="32">
        <v>25.34601060834391</v>
      </c>
      <c r="F445" s="32">
        <v>113.29443604780739</v>
      </c>
      <c r="G445" s="17"/>
    </row>
    <row r="446" spans="3:7" ht="19.899999999999999" customHeight="1" x14ac:dyDescent="0.25">
      <c r="C446" s="31">
        <f t="shared" ca="1" si="26"/>
        <v>66.874383844534407</v>
      </c>
      <c r="D446" s="31">
        <f t="shared" ca="1" si="26"/>
        <v>100.47893099545377</v>
      </c>
      <c r="E446" s="32">
        <v>41.871444090873943</v>
      </c>
      <c r="F446" s="32">
        <v>110.72759978761131</v>
      </c>
      <c r="G446" s="17"/>
    </row>
    <row r="447" spans="3:7" ht="19.899999999999999" customHeight="1" x14ac:dyDescent="0.25">
      <c r="C447" s="31">
        <f t="shared" ca="1" si="26"/>
        <v>39.03527853720928</v>
      </c>
      <c r="D447" s="31">
        <f t="shared" ca="1" si="26"/>
        <v>99.296614065883176</v>
      </c>
      <c r="E447" s="32">
        <v>50.314643022900249</v>
      </c>
      <c r="F447" s="32">
        <v>117.89689644743717</v>
      </c>
      <c r="G447" s="17"/>
    </row>
    <row r="448" spans="3:7" ht="19.899999999999999" customHeight="1" x14ac:dyDescent="0.25">
      <c r="C448" s="31">
        <f t="shared" ca="1" si="26"/>
        <v>88.20152853105067</v>
      </c>
      <c r="D448" s="31">
        <f t="shared" ca="1" si="26"/>
        <v>121.64902574163776</v>
      </c>
      <c r="E448" s="32">
        <v>50.644593230959572</v>
      </c>
      <c r="F448" s="32">
        <v>122.17274992668649</v>
      </c>
      <c r="G448" s="17"/>
    </row>
    <row r="449" spans="3:7" ht="19.899999999999999" customHeight="1" x14ac:dyDescent="0.25">
      <c r="C449" s="31">
        <f t="shared" ca="1" si="26"/>
        <v>29.545514681371913</v>
      </c>
      <c r="D449" s="31">
        <f t="shared" ca="1" si="26"/>
        <v>114.26227965365463</v>
      </c>
      <c r="E449" s="32">
        <v>78.887759948640678</v>
      </c>
      <c r="F449" s="32">
        <v>120.35950541033063</v>
      </c>
      <c r="G449" s="17"/>
    </row>
    <row r="450" spans="3:7" ht="19.899999999999999" customHeight="1" x14ac:dyDescent="0.25">
      <c r="C450" s="31">
        <f t="shared" ca="1" si="26"/>
        <v>59.892097631643281</v>
      </c>
      <c r="D450" s="31">
        <f t="shared" ca="1" si="26"/>
        <v>102.06792325169113</v>
      </c>
      <c r="E450" s="32">
        <v>50.263602908344048</v>
      </c>
      <c r="F450" s="32">
        <v>121.72464035386888</v>
      </c>
      <c r="G450" s="17"/>
    </row>
    <row r="451" spans="3:7" ht="19.899999999999999" customHeight="1" x14ac:dyDescent="0.25">
      <c r="C451" s="31">
        <f t="shared" ca="1" si="26"/>
        <v>56.332160226288501</v>
      </c>
      <c r="D451" s="31">
        <f t="shared" ca="1" si="26"/>
        <v>108.60529947206372</v>
      </c>
      <c r="E451" s="32">
        <v>52.759296594514836</v>
      </c>
      <c r="F451" s="32">
        <v>125.71108762504159</v>
      </c>
      <c r="G451" s="17"/>
    </row>
    <row r="452" spans="3:7" ht="19.899999999999999" customHeight="1" x14ac:dyDescent="0.25">
      <c r="C452" s="31">
        <f t="shared" ca="1" si="26"/>
        <v>21.19169925815573</v>
      </c>
      <c r="D452" s="31">
        <f t="shared" ca="1" si="26"/>
        <v>117.88147475591741</v>
      </c>
      <c r="E452" s="32">
        <v>33.403756987830867</v>
      </c>
      <c r="F452" s="32">
        <v>106.83067383895109</v>
      </c>
      <c r="G452" s="17"/>
    </row>
    <row r="453" spans="3:7" ht="19.899999999999999" customHeight="1" x14ac:dyDescent="0.25">
      <c r="C453" s="31">
        <f t="shared" ca="1" si="26"/>
        <v>58.331038334246557</v>
      </c>
      <c r="D453" s="31">
        <f t="shared" ca="1" si="26"/>
        <v>104.08838274373403</v>
      </c>
      <c r="E453" s="32">
        <v>50.599844689838648</v>
      </c>
      <c r="F453" s="32">
        <v>104.50307457733878</v>
      </c>
      <c r="G453" s="17"/>
    </row>
    <row r="454" spans="3:7" ht="19.899999999999999" customHeight="1" x14ac:dyDescent="0.25">
      <c r="C454" s="31">
        <f t="shared" ref="C454:D473" ca="1" si="27">_xlfn.NORM.INV(RAND(),C$4,C$5)</f>
        <v>64.392296696773656</v>
      </c>
      <c r="D454" s="31">
        <f t="shared" ca="1" si="27"/>
        <v>101.37004985882132</v>
      </c>
      <c r="E454" s="32">
        <v>31.08182067909727</v>
      </c>
      <c r="F454" s="32">
        <v>124.65999099723106</v>
      </c>
      <c r="G454" s="17"/>
    </row>
    <row r="455" spans="3:7" ht="19.899999999999999" customHeight="1" x14ac:dyDescent="0.25">
      <c r="C455" s="31">
        <f t="shared" ca="1" si="27"/>
        <v>32.562565367780309</v>
      </c>
      <c r="D455" s="31">
        <f t="shared" ca="1" si="27"/>
        <v>117.05455692210073</v>
      </c>
      <c r="E455" s="32">
        <v>64.464437159262559</v>
      </c>
      <c r="F455" s="32">
        <v>96.237564101363716</v>
      </c>
      <c r="G455" s="17"/>
    </row>
    <row r="456" spans="3:7" ht="19.899999999999999" customHeight="1" x14ac:dyDescent="0.25">
      <c r="C456" s="31">
        <f t="shared" ca="1" si="27"/>
        <v>40.291014420749597</v>
      </c>
      <c r="D456" s="31">
        <f t="shared" ca="1" si="27"/>
        <v>112.56952962738842</v>
      </c>
      <c r="E456" s="32">
        <v>15.066038696472873</v>
      </c>
      <c r="F456" s="32">
        <v>125.94872675696023</v>
      </c>
      <c r="G456" s="17"/>
    </row>
    <row r="457" spans="3:7" ht="19.899999999999999" customHeight="1" x14ac:dyDescent="0.25">
      <c r="C457" s="31">
        <f t="shared" ca="1" si="27"/>
        <v>11.021987282700032</v>
      </c>
      <c r="D457" s="31">
        <f t="shared" ca="1" si="27"/>
        <v>122.84563485385814</v>
      </c>
      <c r="E457" s="32">
        <v>49.272426459040851</v>
      </c>
      <c r="F457" s="32">
        <v>110.14040915691872</v>
      </c>
      <c r="G457" s="17"/>
    </row>
    <row r="458" spans="3:7" ht="19.899999999999999" customHeight="1" x14ac:dyDescent="0.25">
      <c r="C458" s="31">
        <f t="shared" ca="1" si="27"/>
        <v>77.351732699472507</v>
      </c>
      <c r="D458" s="31">
        <f t="shared" ca="1" si="27"/>
        <v>110.24396563097956</v>
      </c>
      <c r="E458" s="32">
        <v>42.896210125483407</v>
      </c>
      <c r="F458" s="32">
        <v>121.72748683026532</v>
      </c>
      <c r="G458" s="17"/>
    </row>
    <row r="459" spans="3:7" ht="19.899999999999999" customHeight="1" x14ac:dyDescent="0.25">
      <c r="C459" s="31">
        <f t="shared" ca="1" si="27"/>
        <v>59.326661939920371</v>
      </c>
      <c r="D459" s="31">
        <f t="shared" ca="1" si="27"/>
        <v>122.71187343594799</v>
      </c>
      <c r="E459" s="32">
        <v>40.661482652242718</v>
      </c>
      <c r="F459" s="32">
        <v>91.661675092084252</v>
      </c>
      <c r="G459" s="17"/>
    </row>
    <row r="460" spans="3:7" ht="19.899999999999999" customHeight="1" x14ac:dyDescent="0.25">
      <c r="C460" s="31">
        <f t="shared" ca="1" si="27"/>
        <v>43.844342791868385</v>
      </c>
      <c r="D460" s="31">
        <f t="shared" ca="1" si="27"/>
        <v>100.07396178894139</v>
      </c>
      <c r="E460" s="32">
        <v>60.992893520492686</v>
      </c>
      <c r="F460" s="32">
        <v>122.5165217387586</v>
      </c>
      <c r="G460" s="17"/>
    </row>
    <row r="461" spans="3:7" ht="19.899999999999999" customHeight="1" x14ac:dyDescent="0.25">
      <c r="C461" s="31">
        <f t="shared" ca="1" si="27"/>
        <v>27.547161714419108</v>
      </c>
      <c r="D461" s="31">
        <f t="shared" ca="1" si="27"/>
        <v>124.66965972282165</v>
      </c>
      <c r="E461" s="32">
        <v>13.294755970897398</v>
      </c>
      <c r="F461" s="32">
        <v>112.7636863268814</v>
      </c>
      <c r="G461" s="17"/>
    </row>
    <row r="462" spans="3:7" ht="19.899999999999999" customHeight="1" x14ac:dyDescent="0.25">
      <c r="C462" s="31">
        <f t="shared" ca="1" si="27"/>
        <v>71.292049642007086</v>
      </c>
      <c r="D462" s="31">
        <f t="shared" ca="1" si="27"/>
        <v>95.553771879758287</v>
      </c>
      <c r="E462" s="32">
        <v>40.51148033064139</v>
      </c>
      <c r="F462" s="32">
        <v>98.384828915578225</v>
      </c>
      <c r="G462" s="17"/>
    </row>
    <row r="463" spans="3:7" ht="19.899999999999999" customHeight="1" x14ac:dyDescent="0.25">
      <c r="C463" s="31">
        <f t="shared" ca="1" si="27"/>
        <v>74.938905869316187</v>
      </c>
      <c r="D463" s="31">
        <f t="shared" ca="1" si="27"/>
        <v>125.87378119005722</v>
      </c>
      <c r="E463" s="32">
        <v>25.435725058535382</v>
      </c>
      <c r="F463" s="32">
        <v>122.73010841868243</v>
      </c>
      <c r="G463" s="17"/>
    </row>
    <row r="464" spans="3:7" ht="19.899999999999999" customHeight="1" x14ac:dyDescent="0.25">
      <c r="C464" s="31">
        <f t="shared" ca="1" si="27"/>
        <v>21.417673465159034</v>
      </c>
      <c r="D464" s="31">
        <f t="shared" ca="1" si="27"/>
        <v>123.86590355726347</v>
      </c>
      <c r="E464" s="32">
        <v>61.34360356483694</v>
      </c>
      <c r="F464" s="32">
        <v>118.77231709549532</v>
      </c>
      <c r="G464" s="17"/>
    </row>
    <row r="465" spans="3:7" ht="19.899999999999999" customHeight="1" x14ac:dyDescent="0.25">
      <c r="C465" s="31">
        <f t="shared" ca="1" si="27"/>
        <v>63.309952265611116</v>
      </c>
      <c r="D465" s="31">
        <f t="shared" ca="1" si="27"/>
        <v>108.62757372398787</v>
      </c>
      <c r="E465" s="32">
        <v>72.662477289075326</v>
      </c>
      <c r="F465" s="32">
        <v>107.83613213501548</v>
      </c>
      <c r="G465" s="17"/>
    </row>
    <row r="466" spans="3:7" ht="19.899999999999999" customHeight="1" x14ac:dyDescent="0.25">
      <c r="C466" s="31">
        <f t="shared" ca="1" si="27"/>
        <v>26.050632124493156</v>
      </c>
      <c r="D466" s="31">
        <f t="shared" ca="1" si="27"/>
        <v>112.02081079791108</v>
      </c>
      <c r="E466" s="32">
        <v>63.32399633745122</v>
      </c>
      <c r="F466" s="32">
        <v>92.07972953551706</v>
      </c>
      <c r="G466" s="17"/>
    </row>
    <row r="467" spans="3:7" ht="19.899999999999999" customHeight="1" x14ac:dyDescent="0.25">
      <c r="C467" s="31">
        <f t="shared" ca="1" si="27"/>
        <v>60.215340819624345</v>
      </c>
      <c r="D467" s="31">
        <f t="shared" ca="1" si="27"/>
        <v>90.156740717374703</v>
      </c>
      <c r="E467" s="32">
        <v>20.784362514015008</v>
      </c>
      <c r="F467" s="32">
        <v>128.25507914595141</v>
      </c>
      <c r="G467" s="17"/>
    </row>
    <row r="468" spans="3:7" ht="19.899999999999999" customHeight="1" x14ac:dyDescent="0.25">
      <c r="C468" s="31">
        <f t="shared" ca="1" si="27"/>
        <v>58.095244645971405</v>
      </c>
      <c r="D468" s="31">
        <f t="shared" ca="1" si="27"/>
        <v>100.63219123250833</v>
      </c>
      <c r="E468" s="32">
        <v>60.200629909675385</v>
      </c>
      <c r="F468" s="32">
        <v>126.03246675947378</v>
      </c>
      <c r="G468" s="17"/>
    </row>
    <row r="469" spans="3:7" ht="19.899999999999999" customHeight="1" x14ac:dyDescent="0.25">
      <c r="C469" s="31">
        <f t="shared" ca="1" si="27"/>
        <v>33.165085296332165</v>
      </c>
      <c r="D469" s="31">
        <f t="shared" ca="1" si="27"/>
        <v>124.39769902244967</v>
      </c>
      <c r="E469" s="32">
        <v>38.497848371216705</v>
      </c>
      <c r="F469" s="32">
        <v>88.068185445087067</v>
      </c>
      <c r="G469" s="17"/>
    </row>
    <row r="470" spans="3:7" ht="19.899999999999999" customHeight="1" x14ac:dyDescent="0.25">
      <c r="C470" s="31">
        <f t="shared" ca="1" si="27"/>
        <v>42.160397393436988</v>
      </c>
      <c r="D470" s="31">
        <f t="shared" ca="1" si="27"/>
        <v>103.89831911765397</v>
      </c>
      <c r="E470" s="32">
        <v>28.007554701269733</v>
      </c>
      <c r="F470" s="32">
        <v>127.10180200974608</v>
      </c>
      <c r="G470" s="17"/>
    </row>
    <row r="471" spans="3:7" ht="19.899999999999999" customHeight="1" x14ac:dyDescent="0.25">
      <c r="C471" s="31">
        <f t="shared" ca="1" si="27"/>
        <v>39.189550807643244</v>
      </c>
      <c r="D471" s="31">
        <f t="shared" ca="1" si="27"/>
        <v>96.337988899933194</v>
      </c>
      <c r="E471" s="32">
        <v>60.5344491579785</v>
      </c>
      <c r="F471" s="32">
        <v>96.089444234876396</v>
      </c>
      <c r="G471" s="17"/>
    </row>
    <row r="472" spans="3:7" ht="19.899999999999999" customHeight="1" x14ac:dyDescent="0.25">
      <c r="C472" s="31">
        <f t="shared" ca="1" si="27"/>
        <v>44.808405756171503</v>
      </c>
      <c r="D472" s="31">
        <f t="shared" ca="1" si="27"/>
        <v>128.49398522869041</v>
      </c>
      <c r="E472" s="32">
        <v>64.018414950903576</v>
      </c>
      <c r="F472" s="32">
        <v>118.65706693553935</v>
      </c>
      <c r="G472" s="17"/>
    </row>
    <row r="473" spans="3:7" ht="19.899999999999999" customHeight="1" x14ac:dyDescent="0.25">
      <c r="C473" s="31">
        <f t="shared" ca="1" si="27"/>
        <v>56.62689835805962</v>
      </c>
      <c r="D473" s="31">
        <f t="shared" ca="1" si="27"/>
        <v>102.73001704621964</v>
      </c>
      <c r="E473" s="32">
        <v>62.782575683666323</v>
      </c>
      <c r="F473" s="32">
        <v>131.65690205476957</v>
      </c>
      <c r="G473" s="17"/>
    </row>
    <row r="474" spans="3:7" ht="19.899999999999999" customHeight="1" x14ac:dyDescent="0.25">
      <c r="C474" s="31">
        <f t="shared" ref="C474:D493" ca="1" si="28">_xlfn.NORM.INV(RAND(),C$4,C$5)</f>
        <v>60.879053173476052</v>
      </c>
      <c r="D474" s="31">
        <f t="shared" ca="1" si="28"/>
        <v>100.92648891315731</v>
      </c>
      <c r="E474" s="32">
        <v>33.989999048941783</v>
      </c>
      <c r="F474" s="32">
        <v>124.1855809798929</v>
      </c>
      <c r="G474" s="17"/>
    </row>
    <row r="475" spans="3:7" ht="19.899999999999999" customHeight="1" x14ac:dyDescent="0.25">
      <c r="C475" s="31">
        <f t="shared" ca="1" si="28"/>
        <v>57.876655436627104</v>
      </c>
      <c r="D475" s="31">
        <f t="shared" ca="1" si="28"/>
        <v>99.685385097185616</v>
      </c>
      <c r="E475" s="32">
        <v>55.619429714853894</v>
      </c>
      <c r="F475" s="32">
        <v>127.32697125301215</v>
      </c>
      <c r="G475" s="17"/>
    </row>
    <row r="476" spans="3:7" ht="19.899999999999999" customHeight="1" x14ac:dyDescent="0.25">
      <c r="C476" s="31">
        <f t="shared" ca="1" si="28"/>
        <v>71.711436413828096</v>
      </c>
      <c r="D476" s="31">
        <f t="shared" ca="1" si="28"/>
        <v>110.07723210086846</v>
      </c>
      <c r="E476" s="32">
        <v>57.110363963471791</v>
      </c>
      <c r="F476" s="32">
        <v>91.493326222592529</v>
      </c>
      <c r="G476" s="17"/>
    </row>
    <row r="477" spans="3:7" ht="19.899999999999999" customHeight="1" x14ac:dyDescent="0.25">
      <c r="C477" s="31">
        <f t="shared" ca="1" si="28"/>
        <v>38.83171675023307</v>
      </c>
      <c r="D477" s="31">
        <f t="shared" ca="1" si="28"/>
        <v>97.236903509048091</v>
      </c>
      <c r="E477" s="32">
        <v>48.281626507479366</v>
      </c>
      <c r="F477" s="32">
        <v>90.53324400345241</v>
      </c>
      <c r="G477" s="17"/>
    </row>
    <row r="478" spans="3:7" ht="19.899999999999999" customHeight="1" x14ac:dyDescent="0.25">
      <c r="C478" s="31">
        <f t="shared" ca="1" si="28"/>
        <v>89.688330374848192</v>
      </c>
      <c r="D478" s="31">
        <f t="shared" ca="1" si="28"/>
        <v>115.90127622402375</v>
      </c>
      <c r="E478" s="32">
        <v>76.223161778112441</v>
      </c>
      <c r="F478" s="32">
        <v>98.98244426528403</v>
      </c>
      <c r="G478" s="17"/>
    </row>
    <row r="479" spans="3:7" ht="19.899999999999999" customHeight="1" x14ac:dyDescent="0.25">
      <c r="C479" s="31">
        <f t="shared" ca="1" si="28"/>
        <v>40.791381163523504</v>
      </c>
      <c r="D479" s="31">
        <f t="shared" ca="1" si="28"/>
        <v>86.735063515781405</v>
      </c>
      <c r="E479" s="32">
        <v>26.888135339529459</v>
      </c>
      <c r="F479" s="32">
        <v>116.26009425254587</v>
      </c>
      <c r="G479" s="17"/>
    </row>
    <row r="480" spans="3:7" ht="19.899999999999999" customHeight="1" x14ac:dyDescent="0.25">
      <c r="C480" s="31">
        <f t="shared" ca="1" si="28"/>
        <v>47.936656815046462</v>
      </c>
      <c r="D480" s="31">
        <f t="shared" ca="1" si="28"/>
        <v>107.01648912807089</v>
      </c>
      <c r="E480" s="32">
        <v>60.868367008390493</v>
      </c>
      <c r="F480" s="32">
        <v>108.7537130129171</v>
      </c>
      <c r="G480" s="17"/>
    </row>
    <row r="481" spans="3:7" ht="19.899999999999999" customHeight="1" x14ac:dyDescent="0.25">
      <c r="C481" s="31">
        <f t="shared" ca="1" si="28"/>
        <v>34.909873188503511</v>
      </c>
      <c r="D481" s="31">
        <f t="shared" ca="1" si="28"/>
        <v>126.55213749907895</v>
      </c>
      <c r="E481" s="32">
        <v>27.966899846587488</v>
      </c>
      <c r="F481" s="32">
        <v>102.58805777107028</v>
      </c>
      <c r="G481" s="17"/>
    </row>
    <row r="482" spans="3:7" ht="19.899999999999999" customHeight="1" x14ac:dyDescent="0.25">
      <c r="C482" s="31">
        <f t="shared" ca="1" si="28"/>
        <v>52.717132234632224</v>
      </c>
      <c r="D482" s="31">
        <f t="shared" ca="1" si="28"/>
        <v>99.030881010472285</v>
      </c>
      <c r="E482" s="32">
        <v>55.566518317999481</v>
      </c>
      <c r="F482" s="32">
        <v>101.0328632764644</v>
      </c>
      <c r="G482" s="17"/>
    </row>
    <row r="483" spans="3:7" ht="19.899999999999999" customHeight="1" x14ac:dyDescent="0.25">
      <c r="C483" s="31">
        <f t="shared" ca="1" si="28"/>
        <v>87.853534298357616</v>
      </c>
      <c r="D483" s="31">
        <f t="shared" ca="1" si="28"/>
        <v>123.7880071676996</v>
      </c>
      <c r="E483" s="32">
        <v>72.46892180147313</v>
      </c>
      <c r="F483" s="32">
        <v>107.19554989885133</v>
      </c>
      <c r="G483" s="17"/>
    </row>
    <row r="484" spans="3:7" ht="19.899999999999999" customHeight="1" x14ac:dyDescent="0.25">
      <c r="C484" s="31">
        <f t="shared" ca="1" si="28"/>
        <v>73.862127163886328</v>
      </c>
      <c r="D484" s="31">
        <f t="shared" ca="1" si="28"/>
        <v>114.30811875055355</v>
      </c>
      <c r="E484" s="32">
        <v>25.981300709980392</v>
      </c>
      <c r="F484" s="32">
        <v>111.23407657774197</v>
      </c>
      <c r="G484" s="17"/>
    </row>
    <row r="485" spans="3:7" ht="19.899999999999999" customHeight="1" x14ac:dyDescent="0.25">
      <c r="C485" s="31">
        <f t="shared" ca="1" si="28"/>
        <v>50.373769122925168</v>
      </c>
      <c r="D485" s="31">
        <f t="shared" ca="1" si="28"/>
        <v>115.37819574246845</v>
      </c>
      <c r="E485" s="32">
        <v>53.241136596017832</v>
      </c>
      <c r="F485" s="32">
        <v>132.44212111252568</v>
      </c>
      <c r="G485" s="17"/>
    </row>
    <row r="486" spans="3:7" ht="19.899999999999999" customHeight="1" x14ac:dyDescent="0.25">
      <c r="C486" s="31">
        <f t="shared" ca="1" si="28"/>
        <v>44.961017886860347</v>
      </c>
      <c r="D486" s="31">
        <f t="shared" ca="1" si="28"/>
        <v>92.571010316470179</v>
      </c>
      <c r="E486" s="32">
        <v>18.5650519496103</v>
      </c>
      <c r="F486" s="32">
        <v>99.306545063212809</v>
      </c>
      <c r="G486" s="17"/>
    </row>
    <row r="487" spans="3:7" ht="19.899999999999999" customHeight="1" x14ac:dyDescent="0.25">
      <c r="C487" s="31">
        <f t="shared" ca="1" si="28"/>
        <v>48.17516842364283</v>
      </c>
      <c r="D487" s="31">
        <f t="shared" ca="1" si="28"/>
        <v>124.6712924270676</v>
      </c>
      <c r="E487" s="32">
        <v>31.659773597817519</v>
      </c>
      <c r="F487" s="32">
        <v>122.3083822661697</v>
      </c>
      <c r="G487" s="17"/>
    </row>
    <row r="488" spans="3:7" ht="19.899999999999999" customHeight="1" x14ac:dyDescent="0.25">
      <c r="C488" s="31">
        <f t="shared" ca="1" si="28"/>
        <v>42.911168329251659</v>
      </c>
      <c r="D488" s="31">
        <f t="shared" ca="1" si="28"/>
        <v>110.09182263983345</v>
      </c>
      <c r="E488" s="32">
        <v>48.999919363148308</v>
      </c>
      <c r="F488" s="32">
        <v>122.43295020357428</v>
      </c>
      <c r="G488" s="17"/>
    </row>
    <row r="489" spans="3:7" ht="19.899999999999999" customHeight="1" x14ac:dyDescent="0.25">
      <c r="C489" s="31">
        <f t="shared" ca="1" si="28"/>
        <v>38.836921601900819</v>
      </c>
      <c r="D489" s="31">
        <f t="shared" ca="1" si="28"/>
        <v>124.7117582934365</v>
      </c>
      <c r="E489" s="32">
        <v>6.5449797487681138</v>
      </c>
      <c r="F489" s="32">
        <v>116.63430954341192</v>
      </c>
      <c r="G489" s="17"/>
    </row>
    <row r="490" spans="3:7" ht="19.899999999999999" customHeight="1" x14ac:dyDescent="0.25">
      <c r="C490" s="31">
        <f t="shared" ca="1" si="28"/>
        <v>48.167518013296551</v>
      </c>
      <c r="D490" s="31">
        <f t="shared" ca="1" si="28"/>
        <v>124.11486605549622</v>
      </c>
      <c r="E490" s="32">
        <v>69.64050389166016</v>
      </c>
      <c r="F490" s="32">
        <v>115.13758673760793</v>
      </c>
      <c r="G490" s="17"/>
    </row>
    <row r="491" spans="3:7" ht="19.899999999999999" customHeight="1" x14ac:dyDescent="0.25">
      <c r="C491" s="31">
        <f t="shared" ca="1" si="28"/>
        <v>65.281634141872743</v>
      </c>
      <c r="D491" s="31">
        <f t="shared" ca="1" si="28"/>
        <v>116.12580255063395</v>
      </c>
      <c r="E491" s="32">
        <v>36.726524149933766</v>
      </c>
      <c r="F491" s="32">
        <v>104.88193466833107</v>
      </c>
      <c r="G491" s="17"/>
    </row>
    <row r="492" spans="3:7" ht="19.899999999999999" customHeight="1" x14ac:dyDescent="0.25">
      <c r="C492" s="31">
        <f t="shared" ca="1" si="28"/>
        <v>56.544194631285649</v>
      </c>
      <c r="D492" s="31">
        <f t="shared" ca="1" si="28"/>
        <v>112.39031461761783</v>
      </c>
      <c r="E492" s="32">
        <v>71.114800099188287</v>
      </c>
      <c r="F492" s="32">
        <v>124.76174148796876</v>
      </c>
      <c r="G492" s="17"/>
    </row>
    <row r="493" spans="3:7" ht="19.899999999999999" customHeight="1" x14ac:dyDescent="0.25">
      <c r="C493" s="31">
        <f t="shared" ca="1" si="28"/>
        <v>50.529487117297691</v>
      </c>
      <c r="D493" s="31">
        <f t="shared" ca="1" si="28"/>
        <v>118.02994568356132</v>
      </c>
      <c r="E493" s="32">
        <v>54.431315426378418</v>
      </c>
      <c r="F493" s="32">
        <v>117.49458213181853</v>
      </c>
      <c r="G493" s="17"/>
    </row>
    <row r="494" spans="3:7" ht="19.899999999999999" customHeight="1" x14ac:dyDescent="0.25">
      <c r="C494" s="31">
        <f t="shared" ref="C494:D504" ca="1" si="29">_xlfn.NORM.INV(RAND(),C$4,C$5)</f>
        <v>57.175605755727595</v>
      </c>
      <c r="D494" s="31">
        <f t="shared" ca="1" si="29"/>
        <v>106.53618654074725</v>
      </c>
      <c r="E494" s="32">
        <v>52.27671451452315</v>
      </c>
      <c r="F494" s="32">
        <v>114.16437376010512</v>
      </c>
      <c r="G494" s="17"/>
    </row>
    <row r="495" spans="3:7" ht="19.899999999999999" customHeight="1" x14ac:dyDescent="0.25">
      <c r="C495" s="31">
        <f t="shared" ca="1" si="29"/>
        <v>44.808532036232819</v>
      </c>
      <c r="D495" s="31">
        <f t="shared" ca="1" si="29"/>
        <v>97.88204259289374</v>
      </c>
      <c r="E495" s="32">
        <v>57.874513005157525</v>
      </c>
      <c r="F495" s="32">
        <v>116.71444275099631</v>
      </c>
      <c r="G495" s="17"/>
    </row>
    <row r="496" spans="3:7" ht="19.899999999999999" customHeight="1" x14ac:dyDescent="0.25">
      <c r="C496" s="31">
        <f t="shared" ca="1" si="29"/>
        <v>51.134450959420057</v>
      </c>
      <c r="D496" s="31">
        <f t="shared" ca="1" si="29"/>
        <v>98.349917045227599</v>
      </c>
      <c r="E496" s="32">
        <v>46.722653929561183</v>
      </c>
      <c r="F496" s="32">
        <v>95.793210066046683</v>
      </c>
      <c r="G496" s="17"/>
    </row>
    <row r="497" spans="3:7" ht="19.899999999999999" customHeight="1" x14ac:dyDescent="0.25">
      <c r="C497" s="31">
        <f t="shared" ca="1" si="29"/>
        <v>51.222234841000564</v>
      </c>
      <c r="D497" s="31">
        <f t="shared" ca="1" si="29"/>
        <v>120.25758807203165</v>
      </c>
      <c r="E497" s="32">
        <v>81.184133608497874</v>
      </c>
      <c r="F497" s="32">
        <v>117.42969135498944</v>
      </c>
      <c r="G497" s="17"/>
    </row>
    <row r="498" spans="3:7" ht="19.899999999999999" customHeight="1" x14ac:dyDescent="0.25">
      <c r="C498" s="31">
        <f t="shared" ca="1" si="29"/>
        <v>65.14337153542823</v>
      </c>
      <c r="D498" s="31">
        <f t="shared" ca="1" si="29"/>
        <v>113.17968517573075</v>
      </c>
      <c r="E498" s="32">
        <v>60.830795405982798</v>
      </c>
      <c r="F498" s="32">
        <v>103.80967381894862</v>
      </c>
      <c r="G498" s="17"/>
    </row>
    <row r="499" spans="3:7" ht="19.899999999999999" customHeight="1" x14ac:dyDescent="0.25">
      <c r="C499" s="31">
        <f t="shared" ca="1" si="29"/>
        <v>56.932565808903306</v>
      </c>
      <c r="D499" s="31">
        <f t="shared" ca="1" si="29"/>
        <v>110.00211943833855</v>
      </c>
      <c r="E499" s="32">
        <v>90.123278845686869</v>
      </c>
      <c r="F499" s="32">
        <v>104.93257690154101</v>
      </c>
      <c r="G499" s="17"/>
    </row>
    <row r="500" spans="3:7" ht="19.899999999999999" customHeight="1" x14ac:dyDescent="0.25">
      <c r="C500" s="31">
        <f t="shared" ca="1" si="29"/>
        <v>58.741100493499047</v>
      </c>
      <c r="D500" s="31">
        <f t="shared" ca="1" si="29"/>
        <v>105.69231714240301</v>
      </c>
      <c r="E500" s="32">
        <v>36.454044255559694</v>
      </c>
      <c r="F500" s="32">
        <v>94.755055251709379</v>
      </c>
      <c r="G500" s="17"/>
    </row>
    <row r="501" spans="3:7" ht="19.899999999999999" customHeight="1" x14ac:dyDescent="0.25">
      <c r="C501" s="31">
        <f t="shared" ca="1" si="29"/>
        <v>43.421002102711846</v>
      </c>
      <c r="D501" s="31">
        <f t="shared" ca="1" si="29"/>
        <v>114.91443213312806</v>
      </c>
      <c r="E501" s="32">
        <v>58.895188204601695</v>
      </c>
      <c r="F501" s="32">
        <v>108.34893119608115</v>
      </c>
      <c r="G501" s="17"/>
    </row>
    <row r="502" spans="3:7" ht="19.899999999999999" customHeight="1" x14ac:dyDescent="0.25">
      <c r="C502" s="31">
        <f t="shared" ca="1" si="29"/>
        <v>60.454088204725593</v>
      </c>
      <c r="D502" s="31">
        <f t="shared" ca="1" si="29"/>
        <v>96.233480322930049</v>
      </c>
      <c r="E502" s="32">
        <v>72.569485036192248</v>
      </c>
      <c r="F502" s="32">
        <v>109.42675122099105</v>
      </c>
      <c r="G502" s="17"/>
    </row>
    <row r="503" spans="3:7" ht="19.899999999999999" customHeight="1" x14ac:dyDescent="0.25">
      <c r="C503" s="31">
        <f t="shared" ca="1" si="29"/>
        <v>71.973176390832137</v>
      </c>
      <c r="D503" s="31">
        <f t="shared" ca="1" si="29"/>
        <v>122.48038511222465</v>
      </c>
      <c r="E503" s="32">
        <v>49.120308635327156</v>
      </c>
      <c r="F503" s="32">
        <v>103.36671185770096</v>
      </c>
      <c r="G503" s="17"/>
    </row>
    <row r="504" spans="3:7" ht="19.899999999999999" customHeight="1" x14ac:dyDescent="0.25">
      <c r="C504" s="31">
        <f t="shared" ca="1" si="29"/>
        <v>83.22850572126201</v>
      </c>
      <c r="D504" s="31">
        <f t="shared" ca="1" si="29"/>
        <v>109.17320083544337</v>
      </c>
      <c r="E504" s="32">
        <v>48.968469788425146</v>
      </c>
      <c r="F504" s="32">
        <v>126.39865344390205</v>
      </c>
      <c r="G504" s="17"/>
    </row>
  </sheetData>
  <mergeCells count="3">
    <mergeCell ref="H7:H8"/>
    <mergeCell ref="C12:D13"/>
    <mergeCell ref="E12:F13"/>
  </mergeCells>
  <conditionalFormatting sqref="J7:AO9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:AO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Activity 1</vt:lpstr>
      <vt:lpstr>Activity 2</vt:lpstr>
      <vt:lpstr>Activity 3</vt:lpstr>
      <vt:lpstr>Automated</vt:lpstr>
      <vt:lpstr>Single Gaussian</vt:lpstr>
      <vt:lpstr>Problem</vt:lpstr>
      <vt:lpstr>G1_Weight</vt:lpstr>
      <vt:lpstr>G2_Weight</vt:lpstr>
      <vt:lpstr>'Activity 1'!step</vt:lpstr>
      <vt:lpstr>'Activity 2'!step</vt:lpstr>
      <vt:lpstr>step</vt:lpstr>
      <vt:lpstr>Automated!sum_ai</vt:lpstr>
      <vt:lpstr>Automated!sum_ai_xi</vt:lpstr>
      <vt:lpstr>Automated!sum_Bi</vt:lpstr>
      <vt:lpstr>Automated!sum_bi_xi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Collins</dc:creator>
  <cp:lastModifiedBy>Rob Collins</cp:lastModifiedBy>
  <dcterms:created xsi:type="dcterms:W3CDTF">2019-11-27T11:33:25Z</dcterms:created>
  <dcterms:modified xsi:type="dcterms:W3CDTF">2022-08-15T15:57:41Z</dcterms:modified>
</cp:coreProperties>
</file>